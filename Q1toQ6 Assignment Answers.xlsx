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98c9983337cc375/Attachments/Documents/Excel/Excel Assignment/"/>
    </mc:Choice>
  </mc:AlternateContent>
  <xr:revisionPtr revIDLastSave="55" documentId="13_ncr:1_{8C2324C5-976C-4626-9F06-A686C31013E0}" xr6:coauthVersionLast="47" xr6:coauthVersionMax="47" xr10:uidLastSave="{789FFD11-47F7-4849-BF23-6CFE9E0EC60E}"/>
  <bookViews>
    <workbookView xWindow="-108" yWindow="-108" windowWidth="23256" windowHeight="12456" activeTab="3" xr2:uid="{00000000-000D-0000-FFFF-FFFF00000000}"/>
  </bookViews>
  <sheets>
    <sheet name="Arithmatic Functions" sheetId="1" r:id="rId1"/>
    <sheet name="Logical Functions" sheetId="2" r:id="rId2"/>
    <sheet name="Index&amp;Match" sheetId="3" r:id="rId3"/>
    <sheet name="Master Emp sheet" sheetId="4" r:id="rId4"/>
    <sheet name="Source" sheetId="5" r:id="rId5"/>
    <sheet name="Date2" sheetId="6" r:id="rId6"/>
    <sheet name="Sort" sheetId="7" r:id="rId7"/>
    <sheet name="Short ans" sheetId="8" r:id="rId8"/>
    <sheet name="Filter" sheetId="9" r:id="rId9"/>
    <sheet name="Filter ans" sheetId="10" r:id="rId10"/>
    <sheet name="Charts1" sheetId="11" r:id="rId11"/>
    <sheet name="Charts2" sheetId="12" r:id="rId12"/>
  </sheets>
  <definedNames>
    <definedName name="_xlnm._FilterDatabase" localSheetId="9" hidden="1">'Filter ans'!$C$4:$D$317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5q4ozc1GPK5joaIYlTTuRKnYel+/kazureTAzJ+62Dc="/>
    </ext>
  </extLst>
</workbook>
</file>

<file path=xl/calcChain.xml><?xml version="1.0" encoding="utf-8"?>
<calcChain xmlns="http://schemas.openxmlformats.org/spreadsheetml/2006/main">
  <c r="I7" i="4" l="1"/>
  <c r="O10" i="3"/>
  <c r="K19" i="4"/>
  <c r="K13" i="4"/>
  <c r="K8" i="4"/>
  <c r="K9" i="4"/>
  <c r="K10" i="4"/>
  <c r="K11" i="4"/>
  <c r="K12" i="4"/>
  <c r="K14" i="4"/>
  <c r="K15" i="4"/>
  <c r="K16" i="4"/>
  <c r="K17" i="4"/>
  <c r="K18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7" i="4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D25" i="12"/>
  <c r="C3" i="6" l="1"/>
  <c r="H7" i="6" s="1"/>
  <c r="C4" i="6"/>
  <c r="D7" i="6"/>
  <c r="E7" i="6"/>
  <c r="F7" i="6"/>
  <c r="G7" i="6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D12" i="6"/>
  <c r="E12" i="6"/>
  <c r="F12" i="6"/>
  <c r="G12" i="6"/>
  <c r="D13" i="6"/>
  <c r="E13" i="6"/>
  <c r="F13" i="6"/>
  <c r="G13" i="6"/>
  <c r="D14" i="6"/>
  <c r="E14" i="6"/>
  <c r="F14" i="6"/>
  <c r="G14" i="6"/>
  <c r="D15" i="6"/>
  <c r="E15" i="6"/>
  <c r="F15" i="6"/>
  <c r="G15" i="6"/>
  <c r="D16" i="6"/>
  <c r="E16" i="6"/>
  <c r="F16" i="6"/>
  <c r="G16" i="6"/>
  <c r="D17" i="6"/>
  <c r="E17" i="6"/>
  <c r="F17" i="6"/>
  <c r="G17" i="6"/>
  <c r="D18" i="6"/>
  <c r="E18" i="6"/>
  <c r="F18" i="6"/>
  <c r="G18" i="6"/>
  <c r="I11" i="6" l="1"/>
  <c r="I15" i="6"/>
  <c r="I18" i="6"/>
  <c r="H16" i="6"/>
  <c r="H18" i="6"/>
  <c r="I8" i="6"/>
  <c r="I13" i="6"/>
  <c r="I17" i="6"/>
  <c r="I10" i="6"/>
  <c r="I12" i="6"/>
  <c r="I14" i="6"/>
  <c r="I16" i="6"/>
  <c r="H8" i="6"/>
  <c r="H12" i="6"/>
  <c r="H10" i="6"/>
  <c r="H14" i="6"/>
  <c r="I7" i="6"/>
  <c r="I9" i="6"/>
  <c r="H17" i="6"/>
  <c r="H15" i="6"/>
  <c r="H11" i="6"/>
  <c r="H13" i="6"/>
  <c r="H9" i="6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N10" i="3"/>
  <c r="N11" i="3"/>
  <c r="O11" i="3"/>
  <c r="J10" i="2"/>
  <c r="K10" i="2"/>
  <c r="L10" i="2"/>
  <c r="M10" i="2"/>
  <c r="N10" i="2"/>
  <c r="J11" i="2"/>
  <c r="K11" i="2"/>
  <c r="L11" i="2"/>
  <c r="M11" i="2"/>
  <c r="N11" i="2"/>
  <c r="J12" i="2"/>
  <c r="K12" i="2"/>
  <c r="L12" i="2"/>
  <c r="M12" i="2"/>
  <c r="N12" i="2"/>
  <c r="J13" i="2"/>
  <c r="K13" i="2"/>
  <c r="L13" i="2"/>
  <c r="M13" i="2"/>
  <c r="N13" i="2"/>
  <c r="J14" i="2"/>
  <c r="K14" i="2"/>
  <c r="L14" i="2"/>
  <c r="M14" i="2"/>
  <c r="N14" i="2"/>
  <c r="J15" i="2"/>
  <c r="K15" i="2"/>
  <c r="L15" i="2"/>
  <c r="M15" i="2"/>
  <c r="N15" i="2"/>
  <c r="J16" i="2"/>
  <c r="K16" i="2"/>
  <c r="L16" i="2"/>
  <c r="M16" i="2"/>
  <c r="N16" i="2"/>
  <c r="J17" i="2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23" i="2"/>
  <c r="K23" i="2"/>
  <c r="L23" i="2"/>
  <c r="M23" i="2"/>
  <c r="N23" i="2"/>
  <c r="J24" i="2"/>
  <c r="K24" i="2"/>
  <c r="L24" i="2"/>
  <c r="M24" i="2"/>
  <c r="N24" i="2"/>
  <c r="J25" i="2"/>
  <c r="K25" i="2"/>
  <c r="L25" i="2"/>
  <c r="M25" i="2"/>
  <c r="N25" i="2"/>
  <c r="J26" i="2"/>
  <c r="K26" i="2"/>
  <c r="L26" i="2"/>
  <c r="M26" i="2"/>
  <c r="N26" i="2"/>
  <c r="J27" i="2"/>
  <c r="K27" i="2"/>
  <c r="L27" i="2"/>
  <c r="M27" i="2"/>
  <c r="N27" i="2"/>
  <c r="J28" i="2"/>
  <c r="K28" i="2"/>
  <c r="L28" i="2"/>
  <c r="M28" i="2"/>
  <c r="N28" i="2"/>
  <c r="J29" i="2"/>
  <c r="K29" i="2"/>
  <c r="L29" i="2"/>
  <c r="M29" i="2"/>
  <c r="N29" i="2"/>
  <c r="J30" i="2"/>
  <c r="K30" i="2"/>
  <c r="L30" i="2"/>
  <c r="M30" i="2"/>
  <c r="N30" i="2"/>
  <c r="J31" i="2"/>
  <c r="K31" i="2"/>
  <c r="L31" i="2"/>
  <c r="M31" i="2"/>
  <c r="N31" i="2"/>
  <c r="J32" i="2"/>
  <c r="K32" i="2"/>
  <c r="L32" i="2"/>
  <c r="M32" i="2"/>
  <c r="N32" i="2"/>
  <c r="J33" i="2"/>
  <c r="K33" i="2"/>
  <c r="L33" i="2"/>
  <c r="M33" i="2"/>
  <c r="N33" i="2"/>
  <c r="J34" i="2"/>
  <c r="K34" i="2"/>
  <c r="L34" i="2"/>
  <c r="M34" i="2"/>
  <c r="N34" i="2"/>
  <c r="J35" i="2"/>
  <c r="K35" i="2"/>
  <c r="L35" i="2"/>
  <c r="M35" i="2"/>
  <c r="N35" i="2"/>
  <c r="J36" i="2"/>
  <c r="K36" i="2"/>
  <c r="L36" i="2"/>
  <c r="M36" i="2"/>
  <c r="N36" i="2"/>
  <c r="J37" i="2"/>
  <c r="K37" i="2"/>
  <c r="L37" i="2"/>
  <c r="M37" i="2"/>
  <c r="N37" i="2"/>
  <c r="J38" i="2"/>
  <c r="K38" i="2"/>
  <c r="L38" i="2"/>
  <c r="M38" i="2"/>
  <c r="N38" i="2"/>
  <c r="J39" i="2"/>
  <c r="K39" i="2"/>
  <c r="L39" i="2"/>
  <c r="M39" i="2"/>
  <c r="N39" i="2"/>
  <c r="J40" i="2"/>
  <c r="K40" i="2"/>
  <c r="L40" i="2"/>
  <c r="M40" i="2"/>
  <c r="N40" i="2"/>
  <c r="J41" i="2"/>
  <c r="K41" i="2"/>
  <c r="L41" i="2"/>
  <c r="M41" i="2"/>
  <c r="N41" i="2"/>
  <c r="J42" i="2"/>
  <c r="K42" i="2"/>
  <c r="L42" i="2"/>
  <c r="M42" i="2"/>
  <c r="N42" i="2"/>
  <c r="J43" i="2"/>
  <c r="K43" i="2"/>
  <c r="L43" i="2"/>
  <c r="M43" i="2"/>
  <c r="N43" i="2"/>
  <c r="J44" i="2"/>
  <c r="K44" i="2"/>
  <c r="L44" i="2"/>
  <c r="M44" i="2"/>
  <c r="N44" i="2"/>
  <c r="J45" i="2"/>
  <c r="K45" i="2"/>
  <c r="L45" i="2"/>
  <c r="M45" i="2"/>
  <c r="N45" i="2"/>
  <c r="J46" i="2"/>
  <c r="K46" i="2"/>
  <c r="L46" i="2"/>
  <c r="M46" i="2"/>
  <c r="N46" i="2"/>
  <c r="J47" i="2"/>
  <c r="K47" i="2"/>
  <c r="L47" i="2"/>
  <c r="M47" i="2"/>
  <c r="N47" i="2"/>
  <c r="N21" i="1"/>
  <c r="N10" i="1"/>
  <c r="N12" i="1"/>
  <c r="N11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<sst xmlns="http://schemas.openxmlformats.org/spreadsheetml/2006/main" count="3221" uniqueCount="172">
  <si>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</si>
  <si>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</si>
  <si>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</si>
  <si>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</si>
  <si>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</si>
  <si>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</si>
  <si>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</si>
  <si>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</si>
  <si>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</si>
  <si>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</si>
  <si>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</si>
  <si>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</si>
  <si>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</si>
  <si>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</si>
  <si>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</si>
  <si>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</si>
  <si>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</si>
  <si>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</si>
  <si>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</si>
  <si>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</si>
  <si>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</si>
  <si>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</si>
  <si>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</si>
  <si>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</si>
  <si>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</si>
  <si>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</si>
  <si>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</si>
  <si>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</si>
  <si>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</si>
  <si>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</si>
  <si>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</si>
  <si>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</si>
  <si>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</si>
  <si>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</si>
  <si>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</si>
  <si>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</si>
  <si>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</si>
  <si>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</si>
  <si>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</si>
  <si>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</si>
  <si>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</si>
  <si>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</si>
  <si>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</si>
  <si>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</si>
  <si>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</si>
  <si>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</si>
  <si>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</si>
  <si>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</si>
  <si>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</si>
  <si>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</si>
  <si>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</si>
  <si>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</si>
  <si>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</si>
  <si>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</si>
  <si>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</si>
  <si>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</si>
  <si>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</si>
  <si>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</si>
  <si>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</si>
  <si>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</si>
  <si>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</si>
  <si>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</si>
  <si>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</si>
  <si>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</si>
  <si>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</si>
  <si>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</si>
  <si>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</si>
  <si>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</si>
  <si>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</si>
  <si>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</si>
  <si>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</si>
  <si>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</si>
  <si>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</si>
  <si>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</si>
  <si>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</si>
  <si>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</si>
  <si>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</si>
  <si>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</si>
  <si>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</si>
  <si>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</si>
  <si>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</si>
  <si>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</si>
  <si>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</si>
  <si>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</si>
  <si>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</si>
  <si>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</si>
  <si>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</si>
  <si>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</si>
  <si>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</si>
  <si>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</si>
  <si>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</si>
  <si>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</si>
  <si>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</si>
  <si>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</si>
  <si>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</si>
  <si>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</si>
  <si>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</si>
  <si>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</si>
  <si>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</si>
  <si>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</si>
  <si>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</si>
  <si>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</si>
  <si>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</si>
  <si>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</si>
  <si>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</si>
  <si>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</si>
  <si>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</si>
  <si>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</si>
  <si>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</si>
  <si>
    <t>Joining Date</t>
  </si>
  <si>
    <t>Gift everyone 1500 rs. Amazon Voucher, except Director and CEO</t>
  </si>
  <si>
    <t>Employees belong to Sales or Marketing Department with Basic Salary &lt; 45000 get Bonus of 25000</t>
  </si>
  <si>
    <t>Employees joined before 1980 , write them as 'Retired'</t>
  </si>
  <si>
    <t>Employees having Salary less than 30000 and belong to CCD department, Get 9000 as Bonus</t>
  </si>
  <si>
    <t>Write 'Eligible for Gift', in front of Females having Salary less than 50000</t>
  </si>
  <si>
    <t>Add new column for each task</t>
  </si>
  <si>
    <t>First Name</t>
  </si>
  <si>
    <t>Name of Employees, who have</t>
  </si>
  <si>
    <t>Figure out who has the Max and Min Salary</t>
  </si>
  <si>
    <t>*Use Name Range and Vlookup with Match Function</t>
  </si>
  <si>
    <t>If C-Code is not present, display "Retired"</t>
  </si>
  <si>
    <t>Get Region, Department and Salary of all Employees from Sheet "Source"</t>
  </si>
  <si>
    <t>SorceData</t>
  </si>
  <si>
    <t>Ashok Samtaney</t>
  </si>
  <si>
    <t>Dhiren Sheth</t>
  </si>
  <si>
    <t>Simon Rodrigues</t>
  </si>
  <si>
    <t>Ruffina Joshi</t>
  </si>
  <si>
    <t>Ram Ambradkar</t>
  </si>
  <si>
    <t>Yogesh Mansharamani</t>
  </si>
  <si>
    <t>Dinesh Dhanuka</t>
  </si>
  <si>
    <t>Yashraj Vaidya</t>
  </si>
  <si>
    <t>Sudesh Pillai</t>
  </si>
  <si>
    <t>Gururaj Joshi</t>
  </si>
  <si>
    <t>Rajeev Singh</t>
  </si>
  <si>
    <t>Boneca Rego</t>
  </si>
  <si>
    <t>Exact Age with Years,Month,days</t>
  </si>
  <si>
    <t>Age(in years)</t>
  </si>
  <si>
    <t>Year</t>
  </si>
  <si>
    <t>Month(in text)</t>
  </si>
  <si>
    <t>Month(in number)</t>
  </si>
  <si>
    <t>Day(in Number)</t>
  </si>
  <si>
    <t>Name</t>
  </si>
  <si>
    <t>Current Time</t>
  </si>
  <si>
    <t>Current Date</t>
  </si>
  <si>
    <t>Germany</t>
  </si>
  <si>
    <t>Enterprise</t>
  </si>
  <si>
    <t>United States of America</t>
  </si>
  <si>
    <t>Small Business</t>
  </si>
  <si>
    <t>France</t>
  </si>
  <si>
    <t>Midmarket</t>
  </si>
  <si>
    <t>Channel Partners</t>
  </si>
  <si>
    <t>Mexico</t>
  </si>
  <si>
    <t>Canada</t>
  </si>
  <si>
    <t>Government</t>
  </si>
  <si>
    <t>Profit</t>
  </si>
  <si>
    <t>Date</t>
  </si>
  <si>
    <t>Country</t>
  </si>
  <si>
    <t>Segment</t>
  </si>
  <si>
    <t>ID</t>
  </si>
  <si>
    <t>1. Sort Segment, inside each segment Country should be sorted, with sorted profit for each country Low to high.(Use Custom Sort)</t>
  </si>
  <si>
    <t>Sort as per conditions and Copy paste the results, by adding a new sheet in this file. Plus Paste Screenshots of Sort Box.</t>
  </si>
  <si>
    <t>2. Filter the data in Quarter 3</t>
  </si>
  <si>
    <t>1. Filter all the Country name starts with letter "F"</t>
  </si>
  <si>
    <t>Sort as per conditions and Copy paste the results, by adding a new sheet in this file. Plus Paste Screenshots of Text and Date filters (wherever necessary)</t>
  </si>
  <si>
    <t>Revenue'000</t>
  </si>
  <si>
    <t>Note - Do not use Pivot Table or Pivot charts</t>
  </si>
  <si>
    <t>Should be formatted as shown in picture</t>
  </si>
  <si>
    <t>Create Line Chart with Proper formatting</t>
  </si>
  <si>
    <t>Total</t>
  </si>
  <si>
    <t>%</t>
  </si>
  <si>
    <t>Running Total</t>
  </si>
  <si>
    <t>Create Combo Chart with Proper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</si>
</sst>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b/>
      <sz val="12"/>
      <color rgb="FFFF0000"/>
      <name val="Calibri"/>
    </font>
    <font>
      <sz val="11"/>
      <name val="Calibri"/>
    </font>
    <font>
      <b/>
      <sz val="11"/>
      <color rgb="FFFF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2060"/>
        <bgColor rgb="FF00206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4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3" xfId="0" quotePrefix="1" applyFont="1" applyBorder="1"/>
    <xf numFmtId="15" fontId="5" fillId="0" borderId="3" xfId="0" applyNumberFormat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3" borderId="3" xfId="0" applyFont="1" applyFill="1" applyBorder="1"/>
    <xf numFmtId="0" fontId="7" fillId="0" borderId="3" xfId="0" quotePrefix="1" applyFont="1" applyBorder="1"/>
    <xf numFmtId="0" fontId="7" fillId="0" borderId="3" xfId="0" applyFont="1" applyBorder="1"/>
    <xf numFmtId="0" fontId="7" fillId="0" borderId="3" xfId="0" quotePrefix="1" applyFont="1" applyBorder="1" applyAlignment="1">
      <alignment horizontal="center"/>
    </xf>
    <xf numFmtId="15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/>
    <xf numFmtId="0" fontId="8" fillId="3" borderId="3" xfId="0" applyFont="1" applyFill="1" applyBorder="1"/>
    <xf numFmtId="0" fontId="8" fillId="0" borderId="3" xfId="0" applyFont="1" applyBorder="1"/>
    <xf numFmtId="0" fontId="9" fillId="0" borderId="0" xfId="0" applyFont="1"/>
    <xf numFmtId="0" fontId="10" fillId="0" borderId="0" xfId="0" applyFont="1"/>
    <xf numFmtId="0" fontId="12" fillId="0" borderId="6" xfId="0" applyFont="1" applyBorder="1"/>
    <xf numFmtId="0" fontId="8" fillId="2" borderId="3" xfId="0" applyFont="1" applyFill="1" applyBorder="1"/>
    <xf numFmtId="0" fontId="12" fillId="0" borderId="0" xfId="0" applyFont="1"/>
    <xf numFmtId="0" fontId="4" fillId="2" borderId="3" xfId="0" applyFont="1" applyFill="1" applyBorder="1"/>
    <xf numFmtId="0" fontId="5" fillId="4" borderId="3" xfId="0" applyFont="1" applyFill="1" applyBorder="1"/>
    <xf numFmtId="22" fontId="5" fillId="4" borderId="3" xfId="0" applyNumberFormat="1" applyFont="1" applyFill="1" applyBorder="1"/>
    <xf numFmtId="14" fontId="5" fillId="4" borderId="3" xfId="0" applyNumberFormat="1" applyFont="1" applyFill="1" applyBorder="1"/>
    <xf numFmtId="0" fontId="1" fillId="0" borderId="0" xfId="1"/>
    <xf numFmtId="0" fontId="5" fillId="0" borderId="3" xfId="1" applyFont="1" applyBorder="1" applyAlignment="1">
      <alignment horizontal="center"/>
    </xf>
    <xf numFmtId="14" fontId="5" fillId="0" borderId="3" xfId="1" applyNumberFormat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0" fontId="2" fillId="0" borderId="0" xfId="1" applyFont="1"/>
    <xf numFmtId="0" fontId="13" fillId="0" borderId="3" xfId="1" applyFont="1" applyBorder="1" applyAlignment="1">
      <alignment horizontal="left"/>
    </xf>
    <xf numFmtId="6" fontId="5" fillId="0" borderId="3" xfId="1" applyNumberFormat="1" applyFont="1" applyBorder="1"/>
    <xf numFmtId="0" fontId="5" fillId="0" borderId="1" xfId="1" applyFont="1" applyBorder="1"/>
    <xf numFmtId="6" fontId="5" fillId="0" borderId="7" xfId="1" applyNumberFormat="1" applyFont="1" applyBorder="1"/>
    <xf numFmtId="0" fontId="5" fillId="0" borderId="5" xfId="1" applyFont="1" applyBorder="1"/>
    <xf numFmtId="0" fontId="4" fillId="0" borderId="3" xfId="1" applyFont="1" applyBorder="1" applyAlignment="1">
      <alignment horizontal="center"/>
    </xf>
    <xf numFmtId="164" fontId="5" fillId="0" borderId="0" xfId="1" applyNumberFormat="1" applyFont="1"/>
    <xf numFmtId="0" fontId="5" fillId="0" borderId="0" xfId="1" applyFont="1"/>
    <xf numFmtId="9" fontId="5" fillId="0" borderId="3" xfId="1" applyNumberFormat="1" applyFont="1" applyBorder="1"/>
    <xf numFmtId="4" fontId="5" fillId="0" borderId="3" xfId="1" applyNumberFormat="1" applyFont="1" applyBorder="1"/>
    <xf numFmtId="164" fontId="5" fillId="0" borderId="3" xfId="1" applyNumberFormat="1" applyFont="1" applyBorder="1"/>
    <xf numFmtId="164" fontId="5" fillId="0" borderId="7" xfId="1" applyNumberFormat="1" applyFont="1" applyBorder="1"/>
    <xf numFmtId="0" fontId="5" fillId="0" borderId="3" xfId="1" applyFont="1" applyBorder="1"/>
    <xf numFmtId="0" fontId="14" fillId="5" borderId="3" xfId="1" applyFont="1" applyFill="1" applyBorder="1"/>
    <xf numFmtId="0" fontId="14" fillId="5" borderId="7" xfId="1" applyFont="1" applyFill="1" applyBorder="1"/>
    <xf numFmtId="0" fontId="14" fillId="5" borderId="5" xfId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2" fillId="2" borderId="5" xfId="0" applyFont="1" applyFill="1" applyBorder="1" applyAlignment="1">
      <alignment horizontal="left"/>
    </xf>
    <xf numFmtId="0" fontId="11" fillId="0" borderId="4" xfId="0" applyFont="1" applyBorder="1"/>
  </cellXfs>
  <cellStyles count="2">
    <cellStyle name="Normal" xfId="0" builtinId="0"/>
    <cellStyle name="Normal 2" xfId="1" xr:uid="{6B41E7D1-38DD-40B8-88BA-30227503D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12700" cap="rnd">
              <a:solidFill>
                <a:schemeClr val="accent1">
                  <a:shade val="76000"/>
                  <a:alpha val="99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7-42EC-B417-29F168C108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6672671"/>
        <c:axId val="17596899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Charts1!$C$6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Charts1!$C$7:$C$21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Charts1!$C$7:$C$21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A97-42EC-B417-29F168C108BD}"/>
                  </c:ext>
                </c:extLst>
              </c15:ser>
            </c15:filteredLineSeries>
          </c:ext>
        </c:extLst>
      </c:lineChart>
      <c:catAx>
        <c:axId val="17666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89935"/>
        <c:crosses val="autoZero"/>
        <c:auto val="1"/>
        <c:lblAlgn val="ctr"/>
        <c:lblOffset val="100"/>
        <c:tickLblSkip val="2"/>
        <c:noMultiLvlLbl val="0"/>
      </c:catAx>
      <c:valAx>
        <c:axId val="1759689935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1766672671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35429692910008E-2"/>
          <c:y val="0.16270469793581277"/>
          <c:w val="0.85908771538692796"/>
          <c:h val="0.7258723063075328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77-4876-A963-0A24D4178213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7-4876-A963-0A24D41782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7-4876-A963-0A24D4178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603775"/>
        <c:axId val="159276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Charts2!$C$6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977-4876-A963-0A24D417821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34925" cap="rnd">
              <a:solidFill>
                <a:schemeClr val="accent6">
                  <a:lumMod val="50000"/>
                </a:schemeClr>
              </a:solidFill>
              <a:round/>
              <a:tailEnd type="diamond"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77-4876-A963-0A24D4178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543839"/>
        <c:axId val="17596774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Charts2!$E$6</c15:sqref>
                        </c15:formulaRef>
                      </c:ext>
                    </c:extLst>
                    <c:strCache>
                      <c:ptCount val="1"/>
                      <c:pt idx="0">
                        <c:v>Running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28575">
                      <a:noFill/>
                    </a:ln>
                    <a:effectLst/>
                  </c:spPr>
                </c:marker>
                <c:dPt>
                  <c:idx val="17"/>
                  <c:marker>
                    <c:symbol val="diamond"/>
                    <c:size val="10"/>
                    <c:spPr>
                      <a:solidFill>
                        <a:schemeClr val="accent6">
                          <a:lumMod val="50000"/>
                        </a:schemeClr>
                      </a:solidFill>
                      <a:ln w="2857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5-D977-4876-A963-0A24D4178213}"/>
                    </c:ext>
                  </c:extLst>
                </c:dPt>
                <c:dLbls>
                  <c:numFmt formatCode="0%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Charts2!$E$7:$E$24</c15:sqref>
                        </c15:formulaRef>
                      </c:ext>
                    </c:extLst>
                    <c:numCache>
                      <c:formatCode>#,##0.00</c:formatCode>
                      <c:ptCount val="18"/>
                      <c:pt idx="1">
                        <c:v>5078</c:v>
                      </c:pt>
                      <c:pt idx="2">
                        <c:v>13267</c:v>
                      </c:pt>
                      <c:pt idx="3">
                        <c:v>14997</c:v>
                      </c:pt>
                      <c:pt idx="4">
                        <c:v>20259</c:v>
                      </c:pt>
                      <c:pt idx="5">
                        <c:v>22431</c:v>
                      </c:pt>
                      <c:pt idx="6">
                        <c:v>26815</c:v>
                      </c:pt>
                      <c:pt idx="7">
                        <c:v>35524</c:v>
                      </c:pt>
                      <c:pt idx="8">
                        <c:v>39142</c:v>
                      </c:pt>
                      <c:pt idx="9">
                        <c:v>45514</c:v>
                      </c:pt>
                      <c:pt idx="10">
                        <c:v>48970</c:v>
                      </c:pt>
                      <c:pt idx="11">
                        <c:v>56448</c:v>
                      </c:pt>
                      <c:pt idx="12">
                        <c:v>61097</c:v>
                      </c:pt>
                      <c:pt idx="13">
                        <c:v>66928</c:v>
                      </c:pt>
                      <c:pt idx="14">
                        <c:v>68527</c:v>
                      </c:pt>
                      <c:pt idx="15">
                        <c:v>72222</c:v>
                      </c:pt>
                      <c:pt idx="16">
                        <c:v>73900</c:v>
                      </c:pt>
                      <c:pt idx="17">
                        <c:v>77390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977-4876-A963-0A24D4178213}"/>
                  </c:ext>
                </c:extLst>
              </c15:ser>
            </c15:filteredLineSeries>
          </c:ext>
        </c:extLst>
      </c:lineChart>
      <c:catAx>
        <c:axId val="183460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763087"/>
        <c:crosses val="autoZero"/>
        <c:auto val="1"/>
        <c:lblAlgn val="ctr"/>
        <c:lblOffset val="100"/>
        <c:noMultiLvlLbl val="0"/>
      </c:catAx>
      <c:valAx>
        <c:axId val="15927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603775"/>
        <c:crosses val="autoZero"/>
        <c:crossBetween val="between"/>
      </c:valAx>
      <c:valAx>
        <c:axId val="17596774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543839"/>
        <c:crosses val="max"/>
        <c:crossBetween val="between"/>
      </c:valAx>
      <c:catAx>
        <c:axId val="1909543839"/>
        <c:scaling>
          <c:orientation val="minMax"/>
        </c:scaling>
        <c:delete val="1"/>
        <c:axPos val="b"/>
        <c:majorTickMark val="out"/>
        <c:minorTickMark val="none"/>
        <c:tickLblPos val="nextTo"/>
        <c:crossAx val="1759677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38099</xdr:colOff>
      <xdr:row>9</xdr:row>
      <xdr:rowOff>137161</xdr:rowOff>
    </xdr:from>
    <xdr:ext cx="7084741" cy="2705100"/>
    <xdr:pic>
      <xdr:nvPicPr>
        <xdr:cNvPr id="2" name="Picture 1">
          <a:extLst>
            <a:ext uri="{FF2B5EF4-FFF2-40B4-BE49-F238E27FC236}">
              <a16:creationId xmlns:a16="http://schemas.microsoft.com/office/drawing/2014/main" id="{CA2BCE2A-722E-4D37-8087-F6EE0FD6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099" y="1783081"/>
          <a:ext cx="7084741" cy="2705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106681</xdr:colOff>
      <xdr:row>2</xdr:row>
      <xdr:rowOff>17300</xdr:rowOff>
    </xdr:from>
    <xdr:ext cx="4351020" cy="3579340"/>
    <xdr:pic>
      <xdr:nvPicPr>
        <xdr:cNvPr id="2" name="Picture 1">
          <a:extLst>
            <a:ext uri="{FF2B5EF4-FFF2-40B4-BE49-F238E27FC236}">
              <a16:creationId xmlns:a16="http://schemas.microsoft.com/office/drawing/2014/main" id="{F2385BC3-57F2-4D99-964F-EF22C3687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9881" y="383060"/>
          <a:ext cx="4351020" cy="357934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2</xdr:row>
      <xdr:rowOff>38100</xdr:rowOff>
    </xdr:from>
    <xdr:ext cx="6117793" cy="3568311"/>
    <xdr:pic>
      <xdr:nvPicPr>
        <xdr:cNvPr id="3" name="Picture 2">
          <a:extLst>
            <a:ext uri="{FF2B5EF4-FFF2-40B4-BE49-F238E27FC236}">
              <a16:creationId xmlns:a16="http://schemas.microsoft.com/office/drawing/2014/main" id="{D9BFD849-099E-4363-A44F-F24DBCA80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403860"/>
          <a:ext cx="6117793" cy="356831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299085</xdr:colOff>
      <xdr:row>0</xdr:row>
      <xdr:rowOff>156210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3355D636-0597-4A0D-B589-077FA60697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3885" y="15621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53340</xdr:colOff>
      <xdr:row>12</xdr:row>
      <xdr:rowOff>45720</xdr:rowOff>
    </xdr:from>
    <xdr:to>
      <xdr:col>17</xdr:col>
      <xdr:colOff>525780</xdr:colOff>
      <xdr:row>25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8B944B-2D21-4FE3-AEF5-16A4638B9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464821</xdr:colOff>
      <xdr:row>0</xdr:row>
      <xdr:rowOff>173355</xdr:rowOff>
    </xdr:from>
    <xdr:ext cx="3970020" cy="1967865"/>
    <xdr:pic>
      <xdr:nvPicPr>
        <xdr:cNvPr id="2" name="image1.png">
          <a:extLst>
            <a:ext uri="{FF2B5EF4-FFF2-40B4-BE49-F238E27FC236}">
              <a16:creationId xmlns:a16="http://schemas.microsoft.com/office/drawing/2014/main" id="{AF61087E-E531-44D7-93F9-D1F42351E2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80221" y="173355"/>
          <a:ext cx="3970020" cy="1967865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68580</xdr:colOff>
      <xdr:row>14</xdr:row>
      <xdr:rowOff>83820</xdr:rowOff>
    </xdr:from>
    <xdr:to>
      <xdr:col>18</xdr:col>
      <xdr:colOff>45720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D8F5EA-C6E7-4C9D-8429-31D3E038C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opLeftCell="A5" zoomScale="71" workbookViewId="0">
      <selection activeCell="F46" sqref="F46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M2" s="49" t="s">
        <v>0</v>
      </c>
      <c r="N2" s="50"/>
    </row>
    <row r="3" spans="2:14" ht="14.25" customHeight="1">
      <c r="M3" s="1" t="s">
        <v>1</v>
      </c>
      <c r="N3" s="1">
        <f>SUM(J6:J43)</f>
        <v>2191000</v>
      </c>
    </row>
    <row r="4" spans="2:14" ht="14.25" customHeight="1">
      <c r="M4" s="1" t="s">
        <v>2</v>
      </c>
      <c r="N4" s="1">
        <f>AVERAGE(J6:J43)</f>
        <v>57657.894736842107</v>
      </c>
    </row>
    <row r="5" spans="2:14" ht="14.25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1">
        <f>COUNTA(C6:C43)</f>
        <v>38</v>
      </c>
    </row>
    <row r="6" spans="2:14" ht="14.25" customHeight="1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1">
        <f>MAX(J6:J43)</f>
        <v>92000</v>
      </c>
    </row>
    <row r="7" spans="2:14" ht="14.25" customHeight="1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1">
        <f>MIN(J6:J43)</f>
        <v>15000</v>
      </c>
    </row>
    <row r="8" spans="2:14" ht="14.25" customHeight="1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49" t="s">
        <v>32</v>
      </c>
      <c r="N9" s="50"/>
    </row>
    <row r="10" spans="2:14" ht="14.25" customHeight="1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1">
        <f>COUNTIF(I6:I43,I6)</f>
        <v>10</v>
      </c>
    </row>
    <row r="11" spans="2:14" ht="14.25" customHeight="1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1">
        <f>AVERAGEIFS(J6:J43,H6:H43,H37,I6:I43,I6)</f>
        <v>52000</v>
      </c>
    </row>
    <row r="12" spans="2:14" ht="14.25" customHeight="1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1">
        <f>_xlfn.MAXIFS(J6:J43,H6:H43,H7)</f>
        <v>92000</v>
      </c>
    </row>
    <row r="13" spans="2:14" ht="14.25" customHeight="1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49" t="s">
        <v>108</v>
      </c>
      <c r="N19" s="50"/>
    </row>
    <row r="20" spans="2:14" ht="14.25" customHeight="1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1">
        <f>SUMIFS(J6:J43,H6:H43,H6,I6:I43,I15)</f>
        <v>48000</v>
      </c>
    </row>
    <row r="22" spans="2:14" ht="14.25" customHeight="1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5714-85F9-4B9E-ABD6-459C6DD55010}">
  <dimension ref="A1:Y999"/>
  <sheetViews>
    <sheetView topLeftCell="A9" zoomScale="115" zoomScaleNormal="73" workbookViewId="0">
      <selection activeCell="R23" sqref="R23"/>
    </sheetView>
  </sheetViews>
  <sheetFormatPr defaultColWidth="14.44140625" defaultRowHeight="15" customHeight="1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6.109375" customWidth="1"/>
    <col min="11" max="25" width="8.6640625" customWidth="1"/>
  </cols>
  <sheetData>
    <row r="1" spans="1:25" ht="14.25" customHeight="1">
      <c r="C1" s="20" t="s">
        <v>115</v>
      </c>
    </row>
    <row r="2" spans="1:25" ht="14.25" customHeight="1">
      <c r="B2" s="19">
        <v>1</v>
      </c>
      <c r="C2" s="19" t="s">
        <v>114</v>
      </c>
    </row>
    <row r="3" spans="1:25" ht="14.25" customHeight="1">
      <c r="B3" s="19">
        <v>2</v>
      </c>
      <c r="C3" s="19" t="s">
        <v>113</v>
      </c>
    </row>
    <row r="4" spans="1:25" ht="14.25" customHeight="1">
      <c r="B4" s="19">
        <v>3</v>
      </c>
      <c r="C4" s="19" t="s">
        <v>112</v>
      </c>
    </row>
    <row r="5" spans="1:25" ht="14.25" customHeight="1">
      <c r="B5" s="19">
        <v>4</v>
      </c>
      <c r="C5" s="19" t="s">
        <v>111</v>
      </c>
    </row>
    <row r="6" spans="1:25" ht="14.25" customHeight="1">
      <c r="B6" s="19">
        <v>5</v>
      </c>
      <c r="C6" s="19" t="s">
        <v>110</v>
      </c>
    </row>
    <row r="7" spans="1:25" ht="14.25" customHeight="1">
      <c r="B7" s="19"/>
      <c r="C7" s="19"/>
    </row>
    <row r="8" spans="1:25" ht="14.25" customHeight="1"/>
    <row r="9" spans="1:25" ht="14.25" customHeight="1">
      <c r="A9" s="18" t="s">
        <v>3</v>
      </c>
      <c r="B9" s="18" t="s">
        <v>4</v>
      </c>
      <c r="C9" s="18" t="s">
        <v>5</v>
      </c>
      <c r="D9" s="18" t="s">
        <v>109</v>
      </c>
      <c r="E9" s="18" t="s">
        <v>7</v>
      </c>
      <c r="F9" s="18" t="s">
        <v>8</v>
      </c>
      <c r="G9" s="18" t="s">
        <v>9</v>
      </c>
      <c r="H9" s="18" t="s">
        <v>11</v>
      </c>
      <c r="I9" s="18" t="s">
        <v>10</v>
      </c>
      <c r="J9" s="17">
        <v>1</v>
      </c>
      <c r="K9" s="17">
        <v>2</v>
      </c>
      <c r="L9" s="17">
        <v>3</v>
      </c>
      <c r="M9" s="17">
        <v>4</v>
      </c>
      <c r="N9" s="17">
        <v>5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14.25" customHeight="1">
      <c r="A10" s="15">
        <v>150773</v>
      </c>
      <c r="B10" s="11" t="s">
        <v>91</v>
      </c>
      <c r="C10" s="11" t="s">
        <v>92</v>
      </c>
      <c r="D10" s="14">
        <v>26860</v>
      </c>
      <c r="E10" s="13" t="s">
        <v>29</v>
      </c>
      <c r="F10" s="11" t="s">
        <v>16</v>
      </c>
      <c r="G10" s="11" t="s">
        <v>77</v>
      </c>
      <c r="H10" s="12">
        <v>85000</v>
      </c>
      <c r="I10" s="11" t="s">
        <v>18</v>
      </c>
      <c r="J10" s="10" t="str">
        <f t="shared" ref="J10:J47" si="0">IF(AND(E10="Female",H10&lt;50000),"Eligible for Gift","")</f>
        <v/>
      </c>
      <c r="K10" s="10" t="str">
        <f t="shared" ref="K10:K47" si="1">IF(AND(H10&lt;30000,G10="CCD"),9000,"")</f>
        <v/>
      </c>
      <c r="L10" s="10" t="str">
        <f t="shared" ref="L10:L47" si="2">IF(YEAR(D10)&lt;1980,"Retired","")</f>
        <v>Retired</v>
      </c>
      <c r="M10" s="10" t="str">
        <f t="shared" ref="M10:M47" si="3">IF(AND(OR(G10="Sales",G10="Marketing"),H10&lt;45000),25000,"")</f>
        <v/>
      </c>
      <c r="N10" s="10">
        <f t="shared" ref="N10:N47" si="4">IF(OR(G10="Director",G10="CEO"),"",1500)</f>
        <v>1500</v>
      </c>
    </row>
    <row r="11" spans="1:25" ht="14.25" customHeight="1">
      <c r="A11" s="15">
        <v>150777</v>
      </c>
      <c r="B11" s="11" t="s">
        <v>33</v>
      </c>
      <c r="C11" s="11" t="s">
        <v>34</v>
      </c>
      <c r="D11" s="14">
        <v>21123</v>
      </c>
      <c r="E11" s="13" t="s">
        <v>29</v>
      </c>
      <c r="F11" s="11" t="s">
        <v>16</v>
      </c>
      <c r="G11" s="11" t="s">
        <v>35</v>
      </c>
      <c r="H11" s="12">
        <v>22000</v>
      </c>
      <c r="I11" s="11" t="s">
        <v>18</v>
      </c>
      <c r="J11" s="10" t="str">
        <f t="shared" si="0"/>
        <v/>
      </c>
      <c r="K11" s="10" t="str">
        <f t="shared" si="1"/>
        <v/>
      </c>
      <c r="L11" s="10" t="str">
        <f t="shared" si="2"/>
        <v>Retired</v>
      </c>
      <c r="M11" s="10">
        <f t="shared" si="3"/>
        <v>25000</v>
      </c>
      <c r="N11" s="10">
        <f t="shared" si="4"/>
        <v>1500</v>
      </c>
    </row>
    <row r="12" spans="1:25" ht="14.25" customHeight="1">
      <c r="A12" s="15">
        <v>150784</v>
      </c>
      <c r="B12" s="11" t="s">
        <v>20</v>
      </c>
      <c r="C12" s="11" t="s">
        <v>21</v>
      </c>
      <c r="D12" s="14">
        <v>28365</v>
      </c>
      <c r="E12" s="13" t="s">
        <v>15</v>
      </c>
      <c r="F12" s="11" t="s">
        <v>22</v>
      </c>
      <c r="G12" s="11" t="s">
        <v>23</v>
      </c>
      <c r="H12" s="12">
        <v>35000</v>
      </c>
      <c r="I12" s="11" t="s">
        <v>18</v>
      </c>
      <c r="J12" s="10" t="str">
        <f t="shared" si="0"/>
        <v>Eligible for Gift</v>
      </c>
      <c r="K12" s="10" t="str">
        <f t="shared" si="1"/>
        <v/>
      </c>
      <c r="L12" s="10" t="str">
        <f t="shared" si="2"/>
        <v>Retired</v>
      </c>
      <c r="M12" s="10" t="str">
        <f t="shared" si="3"/>
        <v/>
      </c>
      <c r="N12" s="10">
        <f t="shared" si="4"/>
        <v>1500</v>
      </c>
    </row>
    <row r="13" spans="1:25" ht="14.25" customHeight="1">
      <c r="A13" s="15">
        <v>150791</v>
      </c>
      <c r="B13" s="11" t="s">
        <v>25</v>
      </c>
      <c r="C13" s="11" t="s">
        <v>26</v>
      </c>
      <c r="D13" s="14">
        <v>23346</v>
      </c>
      <c r="E13" s="13" t="s">
        <v>15</v>
      </c>
      <c r="F13" s="11" t="s">
        <v>16</v>
      </c>
      <c r="G13" s="11" t="s">
        <v>23</v>
      </c>
      <c r="H13" s="12">
        <v>67000</v>
      </c>
      <c r="I13" s="11" t="s">
        <v>31</v>
      </c>
      <c r="J13" s="10" t="str">
        <f t="shared" si="0"/>
        <v/>
      </c>
      <c r="K13" s="10" t="str">
        <f t="shared" si="1"/>
        <v/>
      </c>
      <c r="L13" s="10" t="str">
        <f t="shared" si="2"/>
        <v>Retired</v>
      </c>
      <c r="M13" s="10" t="str">
        <f t="shared" si="3"/>
        <v/>
      </c>
      <c r="N13" s="10">
        <f t="shared" si="4"/>
        <v>1500</v>
      </c>
    </row>
    <row r="14" spans="1:25" ht="14.25" customHeight="1">
      <c r="A14" s="15">
        <v>150798</v>
      </c>
      <c r="B14" s="11" t="s">
        <v>99</v>
      </c>
      <c r="C14" s="11" t="s">
        <v>96</v>
      </c>
      <c r="D14" s="14">
        <v>28276</v>
      </c>
      <c r="E14" s="13" t="s">
        <v>15</v>
      </c>
      <c r="F14" s="11" t="s">
        <v>16</v>
      </c>
      <c r="G14" s="11" t="s">
        <v>23</v>
      </c>
      <c r="H14" s="12">
        <v>81000</v>
      </c>
      <c r="I14" s="11" t="s">
        <v>18</v>
      </c>
      <c r="J14" s="10" t="str">
        <f t="shared" si="0"/>
        <v/>
      </c>
      <c r="K14" s="10" t="str">
        <f t="shared" si="1"/>
        <v/>
      </c>
      <c r="L14" s="10" t="str">
        <f t="shared" si="2"/>
        <v>Retired</v>
      </c>
      <c r="M14" s="10" t="str">
        <f t="shared" si="3"/>
        <v/>
      </c>
      <c r="N14" s="10">
        <f t="shared" si="4"/>
        <v>1500</v>
      </c>
    </row>
    <row r="15" spans="1:25" ht="14.25" customHeight="1">
      <c r="A15" s="15">
        <v>150805</v>
      </c>
      <c r="B15" s="11" t="s">
        <v>25</v>
      </c>
      <c r="C15" s="11" t="s">
        <v>37</v>
      </c>
      <c r="D15" s="14">
        <v>26172</v>
      </c>
      <c r="E15" s="13" t="s">
        <v>29</v>
      </c>
      <c r="F15" s="11" t="s">
        <v>16</v>
      </c>
      <c r="G15" s="11" t="s">
        <v>38</v>
      </c>
      <c r="H15" s="12">
        <v>91000</v>
      </c>
      <c r="I15" s="11" t="s">
        <v>18</v>
      </c>
      <c r="J15" s="10" t="str">
        <f t="shared" si="0"/>
        <v/>
      </c>
      <c r="K15" s="10" t="str">
        <f t="shared" si="1"/>
        <v/>
      </c>
      <c r="L15" s="10" t="str">
        <f t="shared" si="2"/>
        <v>Retired</v>
      </c>
      <c r="M15" s="10" t="str">
        <f t="shared" si="3"/>
        <v/>
      </c>
      <c r="N15" s="10" t="str">
        <f t="shared" si="4"/>
        <v/>
      </c>
    </row>
    <row r="16" spans="1:25" ht="14.25" customHeight="1">
      <c r="A16" s="15">
        <v>150814</v>
      </c>
      <c r="B16" s="11" t="s">
        <v>49</v>
      </c>
      <c r="C16" s="11" t="s">
        <v>50</v>
      </c>
      <c r="D16" s="14">
        <v>26246</v>
      </c>
      <c r="E16" s="13" t="s">
        <v>29</v>
      </c>
      <c r="F16" s="11" t="s">
        <v>16</v>
      </c>
      <c r="G16" s="11" t="s">
        <v>30</v>
      </c>
      <c r="H16" s="12">
        <v>50000</v>
      </c>
      <c r="I16" s="11" t="s">
        <v>43</v>
      </c>
      <c r="J16" s="10" t="str">
        <f t="shared" si="0"/>
        <v/>
      </c>
      <c r="K16" s="10" t="str">
        <f t="shared" si="1"/>
        <v/>
      </c>
      <c r="L16" s="10" t="str">
        <f t="shared" si="2"/>
        <v>Retired</v>
      </c>
      <c r="M16" s="10" t="str">
        <f t="shared" si="3"/>
        <v/>
      </c>
      <c r="N16" s="10">
        <f t="shared" si="4"/>
        <v>1500</v>
      </c>
    </row>
    <row r="17" spans="1:14" ht="14.25" customHeight="1">
      <c r="A17" s="15">
        <v>150821</v>
      </c>
      <c r="B17" s="11" t="s">
        <v>106</v>
      </c>
      <c r="C17" s="11" t="s">
        <v>107</v>
      </c>
      <c r="D17" s="14">
        <v>29966</v>
      </c>
      <c r="E17" s="13" t="s">
        <v>29</v>
      </c>
      <c r="F17" s="11" t="s">
        <v>22</v>
      </c>
      <c r="G17" s="11" t="s">
        <v>60</v>
      </c>
      <c r="H17" s="12">
        <v>26000</v>
      </c>
      <c r="I17" s="11" t="s">
        <v>43</v>
      </c>
      <c r="J17" s="10" t="str">
        <f t="shared" si="0"/>
        <v/>
      </c>
      <c r="K17" s="10">
        <f t="shared" si="1"/>
        <v>9000</v>
      </c>
      <c r="L17" s="10" t="str">
        <f t="shared" si="2"/>
        <v/>
      </c>
      <c r="M17" s="10" t="str">
        <f t="shared" si="3"/>
        <v/>
      </c>
      <c r="N17" s="10">
        <f t="shared" si="4"/>
        <v>1500</v>
      </c>
    </row>
    <row r="18" spans="1:14" ht="14.25" customHeight="1">
      <c r="A18" s="15">
        <v>150830</v>
      </c>
      <c r="B18" s="11" t="s">
        <v>100</v>
      </c>
      <c r="C18" s="11" t="s">
        <v>101</v>
      </c>
      <c r="D18" s="14">
        <v>29037</v>
      </c>
      <c r="E18" s="13" t="s">
        <v>15</v>
      </c>
      <c r="F18" s="11" t="s">
        <v>16</v>
      </c>
      <c r="G18" s="11" t="s">
        <v>88</v>
      </c>
      <c r="H18" s="12">
        <v>52000</v>
      </c>
      <c r="I18" s="11" t="s">
        <v>48</v>
      </c>
      <c r="J18" s="10" t="str">
        <f t="shared" si="0"/>
        <v/>
      </c>
      <c r="K18" s="10" t="str">
        <f t="shared" si="1"/>
        <v/>
      </c>
      <c r="L18" s="10" t="str">
        <f t="shared" si="2"/>
        <v>Retired</v>
      </c>
      <c r="M18" s="10" t="str">
        <f t="shared" si="3"/>
        <v/>
      </c>
      <c r="N18" s="10">
        <f t="shared" si="4"/>
        <v>1500</v>
      </c>
    </row>
    <row r="19" spans="1:14" ht="14.25" customHeight="1">
      <c r="A19" s="15">
        <v>150834</v>
      </c>
      <c r="B19" s="11" t="s">
        <v>13</v>
      </c>
      <c r="C19" s="11" t="s">
        <v>14</v>
      </c>
      <c r="D19" s="14">
        <v>31199</v>
      </c>
      <c r="E19" s="13" t="s">
        <v>15</v>
      </c>
      <c r="F19" s="11" t="s">
        <v>16</v>
      </c>
      <c r="G19" s="11" t="s">
        <v>17</v>
      </c>
      <c r="H19" s="12">
        <v>48000</v>
      </c>
      <c r="I19" s="11" t="s">
        <v>18</v>
      </c>
      <c r="J19" s="10" t="str">
        <f t="shared" si="0"/>
        <v>Eligible for Gift</v>
      </c>
      <c r="K19" s="10" t="str">
        <f t="shared" si="1"/>
        <v/>
      </c>
      <c r="L19" s="10" t="str">
        <f t="shared" si="2"/>
        <v/>
      </c>
      <c r="M19" s="10" t="str">
        <f t="shared" si="3"/>
        <v/>
      </c>
      <c r="N19" s="10">
        <f t="shared" si="4"/>
        <v>1500</v>
      </c>
    </row>
    <row r="20" spans="1:14" ht="14.25" customHeight="1">
      <c r="A20" s="15">
        <v>150840</v>
      </c>
      <c r="B20" s="11" t="s">
        <v>61</v>
      </c>
      <c r="C20" s="11" t="s">
        <v>93</v>
      </c>
      <c r="D20" s="14">
        <v>23136</v>
      </c>
      <c r="E20" s="13" t="s">
        <v>15</v>
      </c>
      <c r="F20" s="11" t="s">
        <v>16</v>
      </c>
      <c r="G20" s="11" t="s">
        <v>30</v>
      </c>
      <c r="H20" s="12">
        <v>20000</v>
      </c>
      <c r="I20" s="11" t="s">
        <v>31</v>
      </c>
      <c r="J20" s="10" t="str">
        <f t="shared" si="0"/>
        <v>Eligible for Gift</v>
      </c>
      <c r="K20" s="10" t="str">
        <f t="shared" si="1"/>
        <v/>
      </c>
      <c r="L20" s="10" t="str">
        <f t="shared" si="2"/>
        <v>Retired</v>
      </c>
      <c r="M20" s="10" t="str">
        <f t="shared" si="3"/>
        <v/>
      </c>
      <c r="N20" s="10">
        <f t="shared" si="4"/>
        <v>1500</v>
      </c>
    </row>
    <row r="21" spans="1:14" ht="14.25" customHeight="1">
      <c r="A21" s="15">
        <v>150850</v>
      </c>
      <c r="B21" s="11" t="s">
        <v>51</v>
      </c>
      <c r="C21" s="11" t="s">
        <v>94</v>
      </c>
      <c r="D21" s="14">
        <v>32027</v>
      </c>
      <c r="E21" s="13" t="s">
        <v>29</v>
      </c>
      <c r="F21" s="11" t="s">
        <v>16</v>
      </c>
      <c r="G21" s="11" t="s">
        <v>60</v>
      </c>
      <c r="H21" s="12">
        <v>47000</v>
      </c>
      <c r="I21" s="11" t="s">
        <v>48</v>
      </c>
      <c r="J21" s="10" t="str">
        <f t="shared" si="0"/>
        <v/>
      </c>
      <c r="K21" s="10" t="str">
        <f t="shared" si="1"/>
        <v/>
      </c>
      <c r="L21" s="10" t="str">
        <f t="shared" si="2"/>
        <v/>
      </c>
      <c r="M21" s="10" t="str">
        <f t="shared" si="3"/>
        <v/>
      </c>
      <c r="N21" s="10">
        <f t="shared" si="4"/>
        <v>1500</v>
      </c>
    </row>
    <row r="22" spans="1:14" ht="14.25" customHeight="1">
      <c r="A22" s="15">
        <v>150851</v>
      </c>
      <c r="B22" s="11" t="s">
        <v>78</v>
      </c>
      <c r="C22" s="11" t="s">
        <v>79</v>
      </c>
      <c r="D22" s="14">
        <v>29368</v>
      </c>
      <c r="E22" s="13" t="s">
        <v>29</v>
      </c>
      <c r="F22" s="11" t="s">
        <v>22</v>
      </c>
      <c r="G22" s="11" t="s">
        <v>30</v>
      </c>
      <c r="H22" s="12">
        <v>75000</v>
      </c>
      <c r="I22" s="11" t="s">
        <v>48</v>
      </c>
      <c r="J22" s="10" t="str">
        <f t="shared" si="0"/>
        <v/>
      </c>
      <c r="K22" s="10" t="str">
        <f t="shared" si="1"/>
        <v/>
      </c>
      <c r="L22" s="10" t="str">
        <f t="shared" si="2"/>
        <v/>
      </c>
      <c r="M22" s="10" t="str">
        <f t="shared" si="3"/>
        <v/>
      </c>
      <c r="N22" s="10">
        <f t="shared" si="4"/>
        <v>1500</v>
      </c>
    </row>
    <row r="23" spans="1:14" ht="14.25" customHeight="1">
      <c r="A23" s="15">
        <v>150858</v>
      </c>
      <c r="B23" s="11" t="s">
        <v>58</v>
      </c>
      <c r="C23" s="11" t="s">
        <v>59</v>
      </c>
      <c r="D23" s="14">
        <v>34846</v>
      </c>
      <c r="E23" s="13" t="s">
        <v>29</v>
      </c>
      <c r="F23" s="11" t="s">
        <v>16</v>
      </c>
      <c r="G23" s="11" t="s">
        <v>60</v>
      </c>
      <c r="H23" s="12">
        <v>34000</v>
      </c>
      <c r="I23" s="11" t="s">
        <v>48</v>
      </c>
      <c r="J23" s="10" t="str">
        <f t="shared" si="0"/>
        <v/>
      </c>
      <c r="K23" s="10" t="str">
        <f t="shared" si="1"/>
        <v/>
      </c>
      <c r="L23" s="10" t="str">
        <f t="shared" si="2"/>
        <v/>
      </c>
      <c r="M23" s="10" t="str">
        <f t="shared" si="3"/>
        <v/>
      </c>
      <c r="N23" s="10">
        <f t="shared" si="4"/>
        <v>1500</v>
      </c>
    </row>
    <row r="24" spans="1:14" ht="14.25" customHeight="1">
      <c r="A24" s="15">
        <v>150865</v>
      </c>
      <c r="B24" s="11" t="s">
        <v>56</v>
      </c>
      <c r="C24" s="11" t="s">
        <v>54</v>
      </c>
      <c r="D24" s="14">
        <v>31279</v>
      </c>
      <c r="E24" s="13" t="s">
        <v>15</v>
      </c>
      <c r="F24" s="11" t="s">
        <v>16</v>
      </c>
      <c r="G24" s="11" t="s">
        <v>57</v>
      </c>
      <c r="H24" s="12">
        <v>90000</v>
      </c>
      <c r="I24" s="11" t="s">
        <v>31</v>
      </c>
      <c r="J24" s="10" t="str">
        <f t="shared" si="0"/>
        <v/>
      </c>
      <c r="K24" s="10" t="str">
        <f t="shared" si="1"/>
        <v/>
      </c>
      <c r="L24" s="10" t="str">
        <f t="shared" si="2"/>
        <v/>
      </c>
      <c r="M24" s="10" t="str">
        <f t="shared" si="3"/>
        <v/>
      </c>
      <c r="N24" s="10" t="str">
        <f t="shared" si="4"/>
        <v/>
      </c>
    </row>
    <row r="25" spans="1:14" ht="14.25" customHeight="1">
      <c r="A25" s="15">
        <v>150867</v>
      </c>
      <c r="B25" s="11" t="s">
        <v>80</v>
      </c>
      <c r="C25" s="11" t="s">
        <v>81</v>
      </c>
      <c r="D25" s="14">
        <v>29028</v>
      </c>
      <c r="E25" s="13" t="s">
        <v>15</v>
      </c>
      <c r="F25" s="11" t="s">
        <v>22</v>
      </c>
      <c r="G25" s="11" t="s">
        <v>77</v>
      </c>
      <c r="H25" s="12">
        <v>49000</v>
      </c>
      <c r="I25" s="11" t="s">
        <v>31</v>
      </c>
      <c r="J25" s="10" t="str">
        <f t="shared" si="0"/>
        <v>Eligible for Gift</v>
      </c>
      <c r="K25" s="10" t="str">
        <f t="shared" si="1"/>
        <v/>
      </c>
      <c r="L25" s="10" t="str">
        <f t="shared" si="2"/>
        <v>Retired</v>
      </c>
      <c r="M25" s="10" t="str">
        <f t="shared" si="3"/>
        <v/>
      </c>
      <c r="N25" s="10">
        <f t="shared" si="4"/>
        <v>1500</v>
      </c>
    </row>
    <row r="26" spans="1:14" ht="14.25" customHeight="1">
      <c r="A26" s="15">
        <v>150874</v>
      </c>
      <c r="B26" s="11" t="s">
        <v>98</v>
      </c>
      <c r="C26" s="11" t="s">
        <v>96</v>
      </c>
      <c r="D26" s="14">
        <v>37890</v>
      </c>
      <c r="E26" s="13" t="s">
        <v>15</v>
      </c>
      <c r="F26" s="11" t="s">
        <v>16</v>
      </c>
      <c r="G26" s="11" t="s">
        <v>35</v>
      </c>
      <c r="H26" s="12">
        <v>27000</v>
      </c>
      <c r="I26" s="11" t="s">
        <v>31</v>
      </c>
      <c r="J26" s="10" t="str">
        <f t="shared" si="0"/>
        <v>Eligible for Gift</v>
      </c>
      <c r="K26" s="10" t="str">
        <f t="shared" si="1"/>
        <v/>
      </c>
      <c r="L26" s="10" t="str">
        <f t="shared" si="2"/>
        <v/>
      </c>
      <c r="M26" s="10">
        <f t="shared" si="3"/>
        <v>25000</v>
      </c>
      <c r="N26" s="10">
        <f t="shared" si="4"/>
        <v>1500</v>
      </c>
    </row>
    <row r="27" spans="1:14" ht="14.25" customHeight="1">
      <c r="A27" s="15">
        <v>150881</v>
      </c>
      <c r="B27" s="11" t="s">
        <v>46</v>
      </c>
      <c r="C27" s="11" t="s">
        <v>47</v>
      </c>
      <c r="D27" s="14">
        <v>30337</v>
      </c>
      <c r="E27" s="13" t="s">
        <v>29</v>
      </c>
      <c r="F27" s="11" t="s">
        <v>22</v>
      </c>
      <c r="G27" s="11" t="s">
        <v>23</v>
      </c>
      <c r="H27" s="12">
        <v>92000</v>
      </c>
      <c r="I27" s="11" t="s">
        <v>31</v>
      </c>
      <c r="J27" s="10" t="str">
        <f t="shared" si="0"/>
        <v/>
      </c>
      <c r="K27" s="10" t="str">
        <f t="shared" si="1"/>
        <v/>
      </c>
      <c r="L27" s="10" t="str">
        <f t="shared" si="2"/>
        <v/>
      </c>
      <c r="M27" s="10" t="str">
        <f t="shared" si="3"/>
        <v/>
      </c>
      <c r="N27" s="10">
        <f t="shared" si="4"/>
        <v>1500</v>
      </c>
    </row>
    <row r="28" spans="1:14" ht="14.25" customHeight="1">
      <c r="A28" s="15">
        <v>150888</v>
      </c>
      <c r="B28" s="11" t="s">
        <v>53</v>
      </c>
      <c r="C28" s="11" t="s">
        <v>54</v>
      </c>
      <c r="D28" s="14">
        <v>29221</v>
      </c>
      <c r="E28" s="13" t="s">
        <v>29</v>
      </c>
      <c r="F28" s="11" t="s">
        <v>16</v>
      </c>
      <c r="G28" s="11" t="s">
        <v>42</v>
      </c>
      <c r="H28" s="12">
        <v>43000</v>
      </c>
      <c r="I28" s="11" t="s">
        <v>43</v>
      </c>
      <c r="J28" s="10" t="str">
        <f t="shared" si="0"/>
        <v/>
      </c>
      <c r="K28" s="10" t="str">
        <f t="shared" si="1"/>
        <v/>
      </c>
      <c r="L28" s="10" t="str">
        <f t="shared" si="2"/>
        <v/>
      </c>
      <c r="M28" s="10" t="str">
        <f t="shared" si="3"/>
        <v/>
      </c>
      <c r="N28" s="10">
        <f t="shared" si="4"/>
        <v>1500</v>
      </c>
    </row>
    <row r="29" spans="1:14" ht="14.25" customHeight="1">
      <c r="A29" s="15">
        <v>150894</v>
      </c>
      <c r="B29" s="11" t="s">
        <v>64</v>
      </c>
      <c r="C29" s="11" t="s">
        <v>65</v>
      </c>
      <c r="D29" s="14">
        <v>37124</v>
      </c>
      <c r="E29" s="13" t="s">
        <v>29</v>
      </c>
      <c r="F29" s="11" t="s">
        <v>16</v>
      </c>
      <c r="G29" s="11" t="s">
        <v>30</v>
      </c>
      <c r="H29" s="12">
        <v>67000</v>
      </c>
      <c r="I29" s="11" t="s">
        <v>31</v>
      </c>
      <c r="J29" s="10" t="str">
        <f t="shared" si="0"/>
        <v/>
      </c>
      <c r="K29" s="10" t="str">
        <f t="shared" si="1"/>
        <v/>
      </c>
      <c r="L29" s="10" t="str">
        <f t="shared" si="2"/>
        <v/>
      </c>
      <c r="M29" s="10" t="str">
        <f t="shared" si="3"/>
        <v/>
      </c>
      <c r="N29" s="10">
        <f t="shared" si="4"/>
        <v>1500</v>
      </c>
    </row>
    <row r="30" spans="1:14" ht="14.25" customHeight="1">
      <c r="A30" s="15">
        <v>150899</v>
      </c>
      <c r="B30" s="11" t="s">
        <v>82</v>
      </c>
      <c r="C30" s="11" t="s">
        <v>83</v>
      </c>
      <c r="D30" s="14">
        <v>37400</v>
      </c>
      <c r="E30" s="13" t="s">
        <v>29</v>
      </c>
      <c r="F30" s="11" t="s">
        <v>16</v>
      </c>
      <c r="G30" s="11" t="s">
        <v>60</v>
      </c>
      <c r="H30" s="12">
        <v>50000</v>
      </c>
      <c r="I30" s="11" t="s">
        <v>31</v>
      </c>
      <c r="J30" s="10" t="str">
        <f t="shared" si="0"/>
        <v/>
      </c>
      <c r="K30" s="10" t="str">
        <f t="shared" si="1"/>
        <v/>
      </c>
      <c r="L30" s="10" t="str">
        <f t="shared" si="2"/>
        <v/>
      </c>
      <c r="M30" s="10" t="str">
        <f t="shared" si="3"/>
        <v/>
      </c>
      <c r="N30" s="10">
        <f t="shared" si="4"/>
        <v>1500</v>
      </c>
    </row>
    <row r="31" spans="1:14" ht="14.25" customHeight="1">
      <c r="A31" s="15">
        <v>150901</v>
      </c>
      <c r="B31" s="11" t="s">
        <v>86</v>
      </c>
      <c r="C31" s="11" t="s">
        <v>87</v>
      </c>
      <c r="D31" s="14">
        <v>32946</v>
      </c>
      <c r="E31" s="13" t="s">
        <v>15</v>
      </c>
      <c r="F31" s="11" t="s">
        <v>16</v>
      </c>
      <c r="G31" s="11" t="s">
        <v>88</v>
      </c>
      <c r="H31" s="12">
        <v>53000</v>
      </c>
      <c r="I31" s="11" t="s">
        <v>48</v>
      </c>
      <c r="J31" s="10" t="str">
        <f t="shared" si="0"/>
        <v/>
      </c>
      <c r="K31" s="10" t="str">
        <f t="shared" si="1"/>
        <v/>
      </c>
      <c r="L31" s="10" t="str">
        <f t="shared" si="2"/>
        <v/>
      </c>
      <c r="M31" s="10" t="str">
        <f t="shared" si="3"/>
        <v/>
      </c>
      <c r="N31" s="10">
        <f t="shared" si="4"/>
        <v>1500</v>
      </c>
    </row>
    <row r="32" spans="1:14" ht="14.25" customHeight="1">
      <c r="A32" s="15">
        <v>150905</v>
      </c>
      <c r="B32" s="11" t="s">
        <v>68</v>
      </c>
      <c r="C32" s="11" t="s">
        <v>69</v>
      </c>
      <c r="D32" s="14">
        <v>30819</v>
      </c>
      <c r="E32" s="13" t="s">
        <v>15</v>
      </c>
      <c r="F32" s="11" t="s">
        <v>22</v>
      </c>
      <c r="G32" s="11" t="s">
        <v>17</v>
      </c>
      <c r="H32" s="12">
        <v>62000</v>
      </c>
      <c r="I32" s="11" t="s">
        <v>48</v>
      </c>
      <c r="J32" s="10" t="str">
        <f t="shared" si="0"/>
        <v/>
      </c>
      <c r="K32" s="10" t="str">
        <f t="shared" si="1"/>
        <v/>
      </c>
      <c r="L32" s="10" t="str">
        <f t="shared" si="2"/>
        <v/>
      </c>
      <c r="M32" s="10" t="str">
        <f t="shared" si="3"/>
        <v/>
      </c>
      <c r="N32" s="10">
        <f t="shared" si="4"/>
        <v>1500</v>
      </c>
    </row>
    <row r="33" spans="1:14" ht="14.25" customHeight="1">
      <c r="A33" s="15">
        <v>150912</v>
      </c>
      <c r="B33" s="11" t="s">
        <v>72</v>
      </c>
      <c r="C33" s="11" t="s">
        <v>73</v>
      </c>
      <c r="D33" s="14">
        <v>37629</v>
      </c>
      <c r="E33" s="13" t="s">
        <v>15</v>
      </c>
      <c r="F33" s="11" t="s">
        <v>16</v>
      </c>
      <c r="G33" s="11" t="s">
        <v>74</v>
      </c>
      <c r="H33" s="12">
        <v>81000</v>
      </c>
      <c r="I33" s="11" t="s">
        <v>31</v>
      </c>
      <c r="J33" s="10" t="str">
        <f t="shared" si="0"/>
        <v/>
      </c>
      <c r="K33" s="10" t="str">
        <f t="shared" si="1"/>
        <v/>
      </c>
      <c r="L33" s="10" t="str">
        <f t="shared" si="2"/>
        <v/>
      </c>
      <c r="M33" s="10" t="str">
        <f t="shared" si="3"/>
        <v/>
      </c>
      <c r="N33" s="10">
        <f t="shared" si="4"/>
        <v>1500</v>
      </c>
    </row>
    <row r="34" spans="1:14" ht="14.25" customHeight="1">
      <c r="A34" s="15">
        <v>150921</v>
      </c>
      <c r="B34" s="11" t="s">
        <v>75</v>
      </c>
      <c r="C34" s="11" t="s">
        <v>76</v>
      </c>
      <c r="D34" s="14">
        <v>38092</v>
      </c>
      <c r="E34" s="13" t="s">
        <v>29</v>
      </c>
      <c r="F34" s="11" t="s">
        <v>16</v>
      </c>
      <c r="G34" s="11" t="s">
        <v>77</v>
      </c>
      <c r="H34" s="12">
        <v>19000</v>
      </c>
      <c r="I34" s="11" t="s">
        <v>43</v>
      </c>
      <c r="J34" s="10" t="str">
        <f t="shared" si="0"/>
        <v/>
      </c>
      <c r="K34" s="10" t="str">
        <f t="shared" si="1"/>
        <v/>
      </c>
      <c r="L34" s="10" t="str">
        <f t="shared" si="2"/>
        <v/>
      </c>
      <c r="M34" s="10" t="str">
        <f t="shared" si="3"/>
        <v/>
      </c>
      <c r="N34" s="10">
        <f t="shared" si="4"/>
        <v>1500</v>
      </c>
    </row>
    <row r="35" spans="1:14" ht="14.25" customHeight="1">
      <c r="A35" s="15">
        <v>150929</v>
      </c>
      <c r="B35" s="11" t="s">
        <v>102</v>
      </c>
      <c r="C35" s="11" t="s">
        <v>103</v>
      </c>
      <c r="D35" s="14">
        <v>26739</v>
      </c>
      <c r="E35" s="13" t="s">
        <v>29</v>
      </c>
      <c r="F35" s="11" t="s">
        <v>16</v>
      </c>
      <c r="G35" s="11" t="s">
        <v>35</v>
      </c>
      <c r="H35" s="12">
        <v>58000</v>
      </c>
      <c r="I35" s="11" t="s">
        <v>31</v>
      </c>
      <c r="J35" s="10" t="str">
        <f t="shared" si="0"/>
        <v/>
      </c>
      <c r="K35" s="10" t="str">
        <f t="shared" si="1"/>
        <v/>
      </c>
      <c r="L35" s="10" t="str">
        <f t="shared" si="2"/>
        <v>Retired</v>
      </c>
      <c r="M35" s="10" t="str">
        <f t="shared" si="3"/>
        <v/>
      </c>
      <c r="N35" s="10">
        <f t="shared" si="4"/>
        <v>1500</v>
      </c>
    </row>
    <row r="36" spans="1:14" ht="14.25" customHeight="1">
      <c r="A36" s="15">
        <v>150930</v>
      </c>
      <c r="B36" s="11" t="s">
        <v>61</v>
      </c>
      <c r="C36" s="11" t="s">
        <v>62</v>
      </c>
      <c r="D36" s="14">
        <v>37027</v>
      </c>
      <c r="E36" s="13" t="s">
        <v>29</v>
      </c>
      <c r="F36" s="11" t="s">
        <v>16</v>
      </c>
      <c r="G36" s="11" t="s">
        <v>23</v>
      </c>
      <c r="H36" s="12">
        <v>82000</v>
      </c>
      <c r="I36" s="11" t="s">
        <v>31</v>
      </c>
      <c r="J36" s="10" t="str">
        <f t="shared" si="0"/>
        <v/>
      </c>
      <c r="K36" s="10" t="str">
        <f t="shared" si="1"/>
        <v/>
      </c>
      <c r="L36" s="10" t="str">
        <f t="shared" si="2"/>
        <v/>
      </c>
      <c r="M36" s="10" t="str">
        <f t="shared" si="3"/>
        <v/>
      </c>
      <c r="N36" s="10">
        <f t="shared" si="4"/>
        <v>1500</v>
      </c>
    </row>
    <row r="37" spans="1:14" ht="14.25" customHeight="1">
      <c r="A37" s="15">
        <v>150937</v>
      </c>
      <c r="B37" s="11" t="s">
        <v>51</v>
      </c>
      <c r="C37" s="11" t="s">
        <v>52</v>
      </c>
      <c r="D37" s="14">
        <v>24700</v>
      </c>
      <c r="E37" s="13" t="s">
        <v>29</v>
      </c>
      <c r="F37" s="11" t="s">
        <v>16</v>
      </c>
      <c r="G37" s="11" t="s">
        <v>42</v>
      </c>
      <c r="H37" s="12">
        <v>37000</v>
      </c>
      <c r="I37" s="11" t="s">
        <v>18</v>
      </c>
      <c r="J37" s="10" t="str">
        <f t="shared" si="0"/>
        <v/>
      </c>
      <c r="K37" s="10" t="str">
        <f t="shared" si="1"/>
        <v/>
      </c>
      <c r="L37" s="10" t="str">
        <f t="shared" si="2"/>
        <v>Retired</v>
      </c>
      <c r="M37" s="10" t="str">
        <f t="shared" si="3"/>
        <v/>
      </c>
      <c r="N37" s="10">
        <f t="shared" si="4"/>
        <v>1500</v>
      </c>
    </row>
    <row r="38" spans="1:14" ht="14.25" customHeight="1">
      <c r="A38" s="15">
        <v>150940</v>
      </c>
      <c r="B38" s="11" t="s">
        <v>27</v>
      </c>
      <c r="C38" s="11" t="s">
        <v>28</v>
      </c>
      <c r="D38" s="14">
        <v>26906</v>
      </c>
      <c r="E38" s="13" t="s">
        <v>29</v>
      </c>
      <c r="F38" s="11" t="s">
        <v>22</v>
      </c>
      <c r="G38" s="11" t="s">
        <v>30</v>
      </c>
      <c r="H38" s="12">
        <v>87000</v>
      </c>
      <c r="I38" s="11" t="s">
        <v>48</v>
      </c>
      <c r="J38" s="10" t="str">
        <f t="shared" si="0"/>
        <v/>
      </c>
      <c r="K38" s="10" t="str">
        <f t="shared" si="1"/>
        <v/>
      </c>
      <c r="L38" s="10" t="str">
        <f t="shared" si="2"/>
        <v>Retired</v>
      </c>
      <c r="M38" s="10" t="str">
        <f t="shared" si="3"/>
        <v/>
      </c>
      <c r="N38" s="10">
        <f t="shared" si="4"/>
        <v>1500</v>
      </c>
    </row>
    <row r="39" spans="1:14" ht="14.25" customHeight="1">
      <c r="A39" s="15">
        <v>150947</v>
      </c>
      <c r="B39" s="11" t="s">
        <v>66</v>
      </c>
      <c r="C39" s="11" t="s">
        <v>67</v>
      </c>
      <c r="D39" s="14">
        <v>33449</v>
      </c>
      <c r="E39" s="13" t="s">
        <v>15</v>
      </c>
      <c r="F39" s="11" t="s">
        <v>16</v>
      </c>
      <c r="G39" s="11" t="s">
        <v>60</v>
      </c>
      <c r="H39" s="12">
        <v>85000</v>
      </c>
      <c r="I39" s="11" t="s">
        <v>48</v>
      </c>
      <c r="J39" s="10" t="str">
        <f t="shared" si="0"/>
        <v/>
      </c>
      <c r="K39" s="10" t="str">
        <f t="shared" si="1"/>
        <v/>
      </c>
      <c r="L39" s="10" t="str">
        <f t="shared" si="2"/>
        <v/>
      </c>
      <c r="M39" s="10" t="str">
        <f t="shared" si="3"/>
        <v/>
      </c>
      <c r="N39" s="10">
        <f t="shared" si="4"/>
        <v>1500</v>
      </c>
    </row>
    <row r="40" spans="1:14" ht="14.25" customHeight="1">
      <c r="A40" s="15">
        <v>150954</v>
      </c>
      <c r="B40" s="11" t="s">
        <v>97</v>
      </c>
      <c r="C40" s="11" t="s">
        <v>96</v>
      </c>
      <c r="D40" s="14">
        <v>35495</v>
      </c>
      <c r="E40" s="13" t="s">
        <v>15</v>
      </c>
      <c r="F40" s="11" t="s">
        <v>16</v>
      </c>
      <c r="G40" s="11" t="s">
        <v>88</v>
      </c>
      <c r="H40" s="12">
        <v>57000</v>
      </c>
      <c r="I40" s="11" t="s">
        <v>31</v>
      </c>
      <c r="J40" s="10" t="str">
        <f t="shared" si="0"/>
        <v/>
      </c>
      <c r="K40" s="10" t="str">
        <f t="shared" si="1"/>
        <v/>
      </c>
      <c r="L40" s="10" t="str">
        <f t="shared" si="2"/>
        <v/>
      </c>
      <c r="M40" s="10" t="str">
        <f t="shared" si="3"/>
        <v/>
      </c>
      <c r="N40" s="10">
        <f t="shared" si="4"/>
        <v>1500</v>
      </c>
    </row>
    <row r="41" spans="1:14" ht="14.25" customHeight="1">
      <c r="A41" s="15">
        <v>150962</v>
      </c>
      <c r="B41" s="11" t="s">
        <v>95</v>
      </c>
      <c r="C41" s="11" t="s">
        <v>96</v>
      </c>
      <c r="D41" s="14">
        <v>37773</v>
      </c>
      <c r="E41" s="13" t="s">
        <v>15</v>
      </c>
      <c r="F41" s="11" t="s">
        <v>16</v>
      </c>
      <c r="G41" s="11" t="s">
        <v>38</v>
      </c>
      <c r="H41" s="12">
        <v>87000</v>
      </c>
      <c r="I41" s="11" t="s">
        <v>31</v>
      </c>
      <c r="J41" s="10" t="str">
        <f t="shared" si="0"/>
        <v/>
      </c>
      <c r="K41" s="10" t="str">
        <f t="shared" si="1"/>
        <v/>
      </c>
      <c r="L41" s="10" t="str">
        <f t="shared" si="2"/>
        <v/>
      </c>
      <c r="M41" s="10" t="str">
        <f t="shared" si="3"/>
        <v/>
      </c>
      <c r="N41" s="10" t="str">
        <f t="shared" si="4"/>
        <v/>
      </c>
    </row>
    <row r="42" spans="1:14" ht="14.25" customHeight="1">
      <c r="A42" s="15">
        <v>150968</v>
      </c>
      <c r="B42" s="11" t="s">
        <v>89</v>
      </c>
      <c r="C42" s="11" t="s">
        <v>90</v>
      </c>
      <c r="D42" s="14">
        <v>37208</v>
      </c>
      <c r="E42" s="13" t="s">
        <v>29</v>
      </c>
      <c r="F42" s="11" t="s">
        <v>16</v>
      </c>
      <c r="G42" s="11" t="s">
        <v>74</v>
      </c>
      <c r="H42" s="12">
        <v>65000</v>
      </c>
      <c r="I42" s="11" t="s">
        <v>48</v>
      </c>
      <c r="J42" s="10" t="str">
        <f t="shared" si="0"/>
        <v/>
      </c>
      <c r="K42" s="10" t="str">
        <f t="shared" si="1"/>
        <v/>
      </c>
      <c r="L42" s="10" t="str">
        <f t="shared" si="2"/>
        <v/>
      </c>
      <c r="M42" s="10" t="str">
        <f t="shared" si="3"/>
        <v/>
      </c>
      <c r="N42" s="10">
        <f t="shared" si="4"/>
        <v>1500</v>
      </c>
    </row>
    <row r="43" spans="1:14" ht="14.25" customHeight="1">
      <c r="A43" s="15">
        <v>150975</v>
      </c>
      <c r="B43" s="11" t="s">
        <v>84</v>
      </c>
      <c r="C43" s="11" t="s">
        <v>85</v>
      </c>
      <c r="D43" s="14">
        <v>31478</v>
      </c>
      <c r="E43" s="13" t="s">
        <v>29</v>
      </c>
      <c r="F43" s="11" t="s">
        <v>16</v>
      </c>
      <c r="G43" s="11" t="s">
        <v>77</v>
      </c>
      <c r="H43" s="12">
        <v>83000</v>
      </c>
      <c r="I43" s="11" t="s">
        <v>18</v>
      </c>
      <c r="J43" s="10" t="str">
        <f t="shared" si="0"/>
        <v/>
      </c>
      <c r="K43" s="10" t="str">
        <f t="shared" si="1"/>
        <v/>
      </c>
      <c r="L43" s="10" t="str">
        <f t="shared" si="2"/>
        <v/>
      </c>
      <c r="M43" s="10" t="str">
        <f t="shared" si="3"/>
        <v/>
      </c>
      <c r="N43" s="10">
        <f t="shared" si="4"/>
        <v>1500</v>
      </c>
    </row>
    <row r="44" spans="1:14" ht="14.25" customHeight="1">
      <c r="A44" s="15">
        <v>150982</v>
      </c>
      <c r="B44" s="11" t="s">
        <v>104</v>
      </c>
      <c r="C44" s="11" t="s">
        <v>105</v>
      </c>
      <c r="D44" s="14">
        <v>35574</v>
      </c>
      <c r="E44" s="13" t="s">
        <v>29</v>
      </c>
      <c r="F44" s="11" t="s">
        <v>16</v>
      </c>
      <c r="G44" s="11" t="s">
        <v>35</v>
      </c>
      <c r="H44" s="12">
        <v>47000</v>
      </c>
      <c r="I44" s="11" t="s">
        <v>18</v>
      </c>
      <c r="J44" s="10" t="str">
        <f t="shared" si="0"/>
        <v/>
      </c>
      <c r="K44" s="10" t="str">
        <f t="shared" si="1"/>
        <v/>
      </c>
      <c r="L44" s="10" t="str">
        <f t="shared" si="2"/>
        <v/>
      </c>
      <c r="M44" s="10" t="str">
        <f t="shared" si="3"/>
        <v/>
      </c>
      <c r="N44" s="10">
        <f t="shared" si="4"/>
        <v>1500</v>
      </c>
    </row>
    <row r="45" spans="1:14" ht="14.25" customHeight="1">
      <c r="A45" s="15">
        <v>150989</v>
      </c>
      <c r="B45" s="11" t="s">
        <v>45</v>
      </c>
      <c r="C45" s="11" t="s">
        <v>41</v>
      </c>
      <c r="D45" s="14">
        <v>33113</v>
      </c>
      <c r="E45" s="13" t="s">
        <v>29</v>
      </c>
      <c r="F45" s="11" t="s">
        <v>16</v>
      </c>
      <c r="G45" s="11" t="s">
        <v>23</v>
      </c>
      <c r="H45" s="12">
        <v>45000</v>
      </c>
      <c r="I45" s="11" t="s">
        <v>31</v>
      </c>
      <c r="J45" s="10" t="str">
        <f t="shared" si="0"/>
        <v/>
      </c>
      <c r="K45" s="10" t="str">
        <f t="shared" si="1"/>
        <v/>
      </c>
      <c r="L45" s="10" t="str">
        <f t="shared" si="2"/>
        <v/>
      </c>
      <c r="M45" s="10" t="str">
        <f t="shared" si="3"/>
        <v/>
      </c>
      <c r="N45" s="10">
        <f t="shared" si="4"/>
        <v>1500</v>
      </c>
    </row>
    <row r="46" spans="1:14" ht="14.25" customHeight="1">
      <c r="A46" s="15">
        <v>150990</v>
      </c>
      <c r="B46" s="11" t="s">
        <v>40</v>
      </c>
      <c r="C46" s="11" t="s">
        <v>41</v>
      </c>
      <c r="D46" s="14">
        <v>36400</v>
      </c>
      <c r="E46" s="13" t="s">
        <v>29</v>
      </c>
      <c r="F46" s="11" t="s">
        <v>16</v>
      </c>
      <c r="G46" s="11" t="s">
        <v>42</v>
      </c>
      <c r="H46" s="12">
        <v>77000</v>
      </c>
      <c r="I46" s="11" t="s">
        <v>43</v>
      </c>
      <c r="J46" s="10" t="str">
        <f t="shared" si="0"/>
        <v/>
      </c>
      <c r="K46" s="10" t="str">
        <f t="shared" si="1"/>
        <v/>
      </c>
      <c r="L46" s="10" t="str">
        <f t="shared" si="2"/>
        <v/>
      </c>
      <c r="M46" s="10" t="str">
        <f t="shared" si="3"/>
        <v/>
      </c>
      <c r="N46" s="10">
        <f t="shared" si="4"/>
        <v>1500</v>
      </c>
    </row>
    <row r="47" spans="1:14" ht="14.25" customHeight="1">
      <c r="A47" s="15">
        <v>150995</v>
      </c>
      <c r="B47" s="11" t="s">
        <v>70</v>
      </c>
      <c r="C47" s="11" t="s">
        <v>71</v>
      </c>
      <c r="D47" s="14">
        <v>35330</v>
      </c>
      <c r="E47" s="13" t="s">
        <v>29</v>
      </c>
      <c r="F47" s="11" t="s">
        <v>16</v>
      </c>
      <c r="G47" s="11" t="s">
        <v>30</v>
      </c>
      <c r="H47" s="12">
        <v>15000</v>
      </c>
      <c r="I47" s="11" t="s">
        <v>18</v>
      </c>
      <c r="J47" s="10" t="str">
        <f t="shared" si="0"/>
        <v/>
      </c>
      <c r="K47" s="10" t="str">
        <f t="shared" si="1"/>
        <v/>
      </c>
      <c r="L47" s="10" t="str">
        <f t="shared" si="2"/>
        <v/>
      </c>
      <c r="M47" s="10" t="str">
        <f t="shared" si="3"/>
        <v/>
      </c>
      <c r="N47" s="10">
        <f t="shared" si="4"/>
        <v>1500</v>
      </c>
    </row>
    <row r="48" spans="1:14" ht="14.25" customHeight="1">
      <c r="G48" s="9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A579-73BB-4FF8-BB15-AA1C1A36193F}">
  <dimension ref="C1:O1000"/>
  <sheetViews>
    <sheetView workbookViewId="0">
      <selection activeCell="N16" sqref="N16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 t="s">
        <v>8</v>
      </c>
      <c r="I4" s="22" t="s">
        <v>9</v>
      </c>
      <c r="J4" s="22" t="s">
        <v>10</v>
      </c>
      <c r="K4" s="22" t="s">
        <v>11</v>
      </c>
    </row>
    <row r="5" spans="3:15" ht="14.25" customHeight="1">
      <c r="C5" s="15">
        <v>150834</v>
      </c>
      <c r="D5" s="11" t="s">
        <v>13</v>
      </c>
      <c r="E5" s="11" t="s">
        <v>14</v>
      </c>
      <c r="F5" s="14">
        <v>31199</v>
      </c>
      <c r="G5" s="13" t="s">
        <v>15</v>
      </c>
      <c r="H5" s="11" t="s">
        <v>16</v>
      </c>
      <c r="I5" s="11" t="s">
        <v>17</v>
      </c>
      <c r="J5" s="11" t="s">
        <v>18</v>
      </c>
      <c r="K5" s="12">
        <v>48000</v>
      </c>
    </row>
    <row r="6" spans="3:15" ht="14.25" customHeight="1">
      <c r="C6" s="15">
        <v>150784</v>
      </c>
      <c r="D6" s="11" t="s">
        <v>20</v>
      </c>
      <c r="E6" s="11" t="s">
        <v>21</v>
      </c>
      <c r="F6" s="14">
        <v>28365</v>
      </c>
      <c r="G6" s="13" t="s">
        <v>15</v>
      </c>
      <c r="H6" s="11" t="s">
        <v>22</v>
      </c>
      <c r="I6" s="11" t="s">
        <v>23</v>
      </c>
      <c r="J6" s="11" t="s">
        <v>18</v>
      </c>
      <c r="K6" s="12">
        <v>35000</v>
      </c>
    </row>
    <row r="7" spans="3:15" ht="14.25" customHeight="1">
      <c r="C7" s="15">
        <v>150791</v>
      </c>
      <c r="D7" s="11" t="s">
        <v>25</v>
      </c>
      <c r="E7" s="11" t="s">
        <v>26</v>
      </c>
      <c r="F7" s="14">
        <v>23346</v>
      </c>
      <c r="G7" s="13" t="s">
        <v>15</v>
      </c>
      <c r="H7" s="11" t="s">
        <v>16</v>
      </c>
      <c r="I7" s="11" t="s">
        <v>23</v>
      </c>
      <c r="J7" s="11" t="s">
        <v>18</v>
      </c>
      <c r="K7" s="12">
        <v>67000</v>
      </c>
      <c r="M7" s="21" t="s">
        <v>118</v>
      </c>
    </row>
    <row r="8" spans="3:15" ht="14.25" customHeight="1">
      <c r="C8" s="15">
        <v>150940</v>
      </c>
      <c r="D8" s="11" t="s">
        <v>27</v>
      </c>
      <c r="E8" s="11" t="s">
        <v>28</v>
      </c>
      <c r="F8" s="14">
        <v>26906</v>
      </c>
      <c r="G8" s="13" t="s">
        <v>29</v>
      </c>
      <c r="H8" s="11" t="s">
        <v>22</v>
      </c>
      <c r="I8" s="11" t="s">
        <v>30</v>
      </c>
      <c r="J8" s="11" t="s">
        <v>31</v>
      </c>
      <c r="K8" s="12">
        <v>87000</v>
      </c>
    </row>
    <row r="9" spans="3:15" ht="14.25" customHeight="1">
      <c r="C9" s="15">
        <v>150777</v>
      </c>
      <c r="D9" s="11" t="s">
        <v>33</v>
      </c>
      <c r="E9" s="11" t="s">
        <v>34</v>
      </c>
      <c r="F9" s="14">
        <v>21123</v>
      </c>
      <c r="G9" s="13" t="s">
        <v>29</v>
      </c>
      <c r="H9" s="11" t="s">
        <v>16</v>
      </c>
      <c r="I9" s="11" t="s">
        <v>35</v>
      </c>
      <c r="J9" s="11" t="s">
        <v>18</v>
      </c>
      <c r="K9" s="12">
        <v>22000</v>
      </c>
      <c r="M9" s="51" t="s">
        <v>117</v>
      </c>
      <c r="N9" s="52"/>
      <c r="O9" s="18" t="s">
        <v>116</v>
      </c>
    </row>
    <row r="10" spans="3:15" ht="14.25" customHeight="1">
      <c r="C10" s="15">
        <v>150805</v>
      </c>
      <c r="D10" s="11" t="s">
        <v>25</v>
      </c>
      <c r="E10" s="11" t="s">
        <v>37</v>
      </c>
      <c r="F10" s="14">
        <v>26172</v>
      </c>
      <c r="G10" s="13" t="s">
        <v>29</v>
      </c>
      <c r="H10" s="11" t="s">
        <v>16</v>
      </c>
      <c r="I10" s="11" t="s">
        <v>38</v>
      </c>
      <c r="J10" s="11" t="s">
        <v>18</v>
      </c>
      <c r="K10" s="12">
        <v>91000</v>
      </c>
      <c r="M10" s="18" t="s">
        <v>19</v>
      </c>
      <c r="N10" s="18">
        <f>MAX(K5:K42)</f>
        <v>92000</v>
      </c>
      <c r="O10" s="12" t="str">
        <f>INDEX(D5:D42,MATCH(MAX(K5:K42),K5:K42,0))</f>
        <v>Dinesh</v>
      </c>
    </row>
    <row r="11" spans="3:15" ht="14.25" customHeight="1">
      <c r="C11" s="15">
        <v>150990</v>
      </c>
      <c r="D11" s="11" t="s">
        <v>40</v>
      </c>
      <c r="E11" s="11" t="s">
        <v>41</v>
      </c>
      <c r="F11" s="14">
        <v>36400</v>
      </c>
      <c r="G11" s="13" t="s">
        <v>29</v>
      </c>
      <c r="H11" s="11" t="s">
        <v>16</v>
      </c>
      <c r="I11" s="11" t="s">
        <v>42</v>
      </c>
      <c r="J11" s="11" t="s">
        <v>43</v>
      </c>
      <c r="K11" s="12">
        <v>77000</v>
      </c>
      <c r="M11" s="18" t="s">
        <v>24</v>
      </c>
      <c r="N11" s="1">
        <f>MIN(K5:K42)</f>
        <v>15000</v>
      </c>
      <c r="O11" s="12" t="str">
        <f>INDEX(D5:D42,MATCH(MIN(K5:K42),K5:K42,0))</f>
        <v>Satish</v>
      </c>
    </row>
    <row r="12" spans="3:15" ht="14.25" customHeight="1">
      <c r="C12" s="15">
        <v>150989</v>
      </c>
      <c r="D12" s="11" t="s">
        <v>45</v>
      </c>
      <c r="E12" s="11" t="s">
        <v>41</v>
      </c>
      <c r="F12" s="14">
        <v>33113</v>
      </c>
      <c r="G12" s="13" t="s">
        <v>29</v>
      </c>
      <c r="H12" s="11" t="s">
        <v>16</v>
      </c>
      <c r="I12" s="11" t="s">
        <v>23</v>
      </c>
      <c r="J12" s="11" t="s">
        <v>43</v>
      </c>
      <c r="K12" s="12">
        <v>45000</v>
      </c>
    </row>
    <row r="13" spans="3:15" ht="14.25" customHeight="1">
      <c r="C13" s="15">
        <v>150881</v>
      </c>
      <c r="D13" s="11" t="s">
        <v>46</v>
      </c>
      <c r="E13" s="11" t="s">
        <v>47</v>
      </c>
      <c r="F13" s="14">
        <v>30337</v>
      </c>
      <c r="G13" s="13" t="s">
        <v>29</v>
      </c>
      <c r="H13" s="11" t="s">
        <v>22</v>
      </c>
      <c r="I13" s="11" t="s">
        <v>23</v>
      </c>
      <c r="J13" s="11" t="s">
        <v>48</v>
      </c>
      <c r="K13" s="12">
        <v>92000</v>
      </c>
    </row>
    <row r="14" spans="3:15" ht="14.25" customHeight="1">
      <c r="C14" s="15">
        <v>150814</v>
      </c>
      <c r="D14" s="11" t="s">
        <v>49</v>
      </c>
      <c r="E14" s="11" t="s">
        <v>50</v>
      </c>
      <c r="F14" s="14">
        <v>26246</v>
      </c>
      <c r="G14" s="13" t="s">
        <v>29</v>
      </c>
      <c r="H14" s="11" t="s">
        <v>16</v>
      </c>
      <c r="I14" s="11" t="s">
        <v>30</v>
      </c>
      <c r="J14" s="11" t="s">
        <v>18</v>
      </c>
      <c r="K14" s="12">
        <v>50000</v>
      </c>
    </row>
    <row r="15" spans="3:15" ht="14.25" customHeight="1">
      <c r="C15" s="15">
        <v>150937</v>
      </c>
      <c r="D15" s="11" t="s">
        <v>51</v>
      </c>
      <c r="E15" s="11" t="s">
        <v>52</v>
      </c>
      <c r="F15" s="14">
        <v>24700</v>
      </c>
      <c r="G15" s="13" t="s">
        <v>29</v>
      </c>
      <c r="H15" s="11" t="s">
        <v>16</v>
      </c>
      <c r="I15" s="11" t="s">
        <v>42</v>
      </c>
      <c r="J15" s="11" t="s">
        <v>31</v>
      </c>
      <c r="K15" s="12">
        <v>37000</v>
      </c>
    </row>
    <row r="16" spans="3:15" ht="14.25" customHeight="1">
      <c r="C16" s="15">
        <v>150888</v>
      </c>
      <c r="D16" s="11" t="s">
        <v>53</v>
      </c>
      <c r="E16" s="11" t="s">
        <v>54</v>
      </c>
      <c r="F16" s="14">
        <v>29221</v>
      </c>
      <c r="G16" s="13" t="s">
        <v>29</v>
      </c>
      <c r="H16" s="11" t="s">
        <v>16</v>
      </c>
      <c r="I16" s="11" t="s">
        <v>42</v>
      </c>
      <c r="J16" s="11" t="s">
        <v>48</v>
      </c>
      <c r="K16" s="12">
        <v>43000</v>
      </c>
    </row>
    <row r="17" spans="3:11" ht="14.25" customHeight="1">
      <c r="C17" s="15">
        <v>150865</v>
      </c>
      <c r="D17" s="11" t="s">
        <v>56</v>
      </c>
      <c r="E17" s="11" t="s">
        <v>54</v>
      </c>
      <c r="F17" s="14">
        <v>31279</v>
      </c>
      <c r="G17" s="13" t="s">
        <v>15</v>
      </c>
      <c r="H17" s="11" t="s">
        <v>16</v>
      </c>
      <c r="I17" s="11" t="s">
        <v>57</v>
      </c>
      <c r="J17" s="11" t="s">
        <v>48</v>
      </c>
      <c r="K17" s="12">
        <v>90000</v>
      </c>
    </row>
    <row r="18" spans="3:11" ht="14.25" customHeight="1">
      <c r="C18" s="15">
        <v>150858</v>
      </c>
      <c r="D18" s="11" t="s">
        <v>58</v>
      </c>
      <c r="E18" s="11" t="s">
        <v>59</v>
      </c>
      <c r="F18" s="14">
        <v>34846</v>
      </c>
      <c r="G18" s="13" t="s">
        <v>29</v>
      </c>
      <c r="H18" s="11" t="s">
        <v>16</v>
      </c>
      <c r="I18" s="11" t="s">
        <v>60</v>
      </c>
      <c r="J18" s="11" t="s">
        <v>48</v>
      </c>
      <c r="K18" s="12">
        <v>34000</v>
      </c>
    </row>
    <row r="19" spans="3:11" ht="14.25" customHeight="1">
      <c r="C19" s="15">
        <v>150930</v>
      </c>
      <c r="D19" s="11" t="s">
        <v>61</v>
      </c>
      <c r="E19" s="11" t="s">
        <v>62</v>
      </c>
      <c r="F19" s="14">
        <v>37027</v>
      </c>
      <c r="G19" s="13" t="s">
        <v>29</v>
      </c>
      <c r="H19" s="11" t="s">
        <v>16</v>
      </c>
      <c r="I19" s="11" t="s">
        <v>23</v>
      </c>
      <c r="J19" s="11" t="s">
        <v>31</v>
      </c>
      <c r="K19" s="12">
        <v>82000</v>
      </c>
    </row>
    <row r="20" spans="3:11" ht="14.25" customHeight="1">
      <c r="C20" s="15">
        <v>150894</v>
      </c>
      <c r="D20" s="11" t="s">
        <v>64</v>
      </c>
      <c r="E20" s="11" t="s">
        <v>65</v>
      </c>
      <c r="F20" s="14">
        <v>37124</v>
      </c>
      <c r="G20" s="13" t="s">
        <v>29</v>
      </c>
      <c r="H20" s="11" t="s">
        <v>16</v>
      </c>
      <c r="I20" s="11" t="s">
        <v>30</v>
      </c>
      <c r="J20" s="11" t="s">
        <v>31</v>
      </c>
      <c r="K20" s="12">
        <v>67000</v>
      </c>
    </row>
    <row r="21" spans="3:11" ht="14.25" customHeight="1">
      <c r="C21" s="15">
        <v>150947</v>
      </c>
      <c r="D21" s="11" t="s">
        <v>66</v>
      </c>
      <c r="E21" s="11" t="s">
        <v>67</v>
      </c>
      <c r="F21" s="14">
        <v>33449</v>
      </c>
      <c r="G21" s="13" t="s">
        <v>15</v>
      </c>
      <c r="H21" s="11" t="s">
        <v>16</v>
      </c>
      <c r="I21" s="11" t="s">
        <v>60</v>
      </c>
      <c r="J21" s="11" t="s">
        <v>31</v>
      </c>
      <c r="K21" s="12">
        <v>85000</v>
      </c>
    </row>
    <row r="22" spans="3:11" ht="14.25" customHeight="1">
      <c r="C22" s="15">
        <v>150905</v>
      </c>
      <c r="D22" s="11" t="s">
        <v>68</v>
      </c>
      <c r="E22" s="11" t="s">
        <v>69</v>
      </c>
      <c r="F22" s="14">
        <v>30819</v>
      </c>
      <c r="G22" s="13" t="s">
        <v>15</v>
      </c>
      <c r="H22" s="11" t="s">
        <v>22</v>
      </c>
      <c r="I22" s="11" t="s">
        <v>17</v>
      </c>
      <c r="J22" s="11" t="s">
        <v>31</v>
      </c>
      <c r="K22" s="12">
        <v>62000</v>
      </c>
    </row>
    <row r="23" spans="3:11" ht="14.25" customHeight="1">
      <c r="C23" s="15">
        <v>150995</v>
      </c>
      <c r="D23" s="11" t="s">
        <v>70</v>
      </c>
      <c r="E23" s="11" t="s">
        <v>71</v>
      </c>
      <c r="F23" s="14">
        <v>35330</v>
      </c>
      <c r="G23" s="13" t="s">
        <v>29</v>
      </c>
      <c r="H23" s="11" t="s">
        <v>16</v>
      </c>
      <c r="I23" s="11" t="s">
        <v>30</v>
      </c>
      <c r="J23" s="11" t="s">
        <v>43</v>
      </c>
      <c r="K23" s="12">
        <v>15000</v>
      </c>
    </row>
    <row r="24" spans="3:11" ht="14.25" customHeight="1">
      <c r="C24" s="15">
        <v>150912</v>
      </c>
      <c r="D24" s="11" t="s">
        <v>72</v>
      </c>
      <c r="E24" s="11" t="s">
        <v>73</v>
      </c>
      <c r="F24" s="14">
        <v>37629</v>
      </c>
      <c r="G24" s="13" t="s">
        <v>15</v>
      </c>
      <c r="H24" s="11" t="s">
        <v>16</v>
      </c>
      <c r="I24" s="11" t="s">
        <v>74</v>
      </c>
      <c r="J24" s="11" t="s">
        <v>31</v>
      </c>
      <c r="K24" s="12">
        <v>81000</v>
      </c>
    </row>
    <row r="25" spans="3:11" ht="14.25" customHeight="1">
      <c r="C25" s="15">
        <v>150921</v>
      </c>
      <c r="D25" s="11" t="s">
        <v>75</v>
      </c>
      <c r="E25" s="11" t="s">
        <v>76</v>
      </c>
      <c r="F25" s="14">
        <v>38092</v>
      </c>
      <c r="G25" s="13" t="s">
        <v>29</v>
      </c>
      <c r="H25" s="11" t="s">
        <v>16</v>
      </c>
      <c r="I25" s="11" t="s">
        <v>77</v>
      </c>
      <c r="J25" s="11" t="s">
        <v>31</v>
      </c>
      <c r="K25" s="12">
        <v>19000</v>
      </c>
    </row>
    <row r="26" spans="3:11" ht="14.25" customHeight="1">
      <c r="C26" s="15">
        <v>150851</v>
      </c>
      <c r="D26" s="11" t="s">
        <v>78</v>
      </c>
      <c r="E26" s="11" t="s">
        <v>79</v>
      </c>
      <c r="F26" s="14">
        <v>29368</v>
      </c>
      <c r="G26" s="13" t="s">
        <v>29</v>
      </c>
      <c r="H26" s="11" t="s">
        <v>22</v>
      </c>
      <c r="I26" s="11" t="s">
        <v>30</v>
      </c>
      <c r="J26" s="11" t="s">
        <v>48</v>
      </c>
      <c r="K26" s="12">
        <v>75000</v>
      </c>
    </row>
    <row r="27" spans="3:11" ht="14.25" customHeight="1">
      <c r="C27" s="15">
        <v>150867</v>
      </c>
      <c r="D27" s="11" t="s">
        <v>80</v>
      </c>
      <c r="E27" s="11" t="s">
        <v>81</v>
      </c>
      <c r="F27" s="14">
        <v>29028</v>
      </c>
      <c r="G27" s="13" t="s">
        <v>15</v>
      </c>
      <c r="H27" s="11" t="s">
        <v>22</v>
      </c>
      <c r="I27" s="11" t="s">
        <v>77</v>
      </c>
      <c r="J27" s="11" t="s">
        <v>48</v>
      </c>
      <c r="K27" s="12">
        <v>49000</v>
      </c>
    </row>
    <row r="28" spans="3:11" ht="14.25" customHeight="1">
      <c r="C28" s="15">
        <v>150899</v>
      </c>
      <c r="D28" s="11" t="s">
        <v>82</v>
      </c>
      <c r="E28" s="11" t="s">
        <v>83</v>
      </c>
      <c r="F28" s="14">
        <v>37400</v>
      </c>
      <c r="G28" s="13" t="s">
        <v>29</v>
      </c>
      <c r="H28" s="11" t="s">
        <v>16</v>
      </c>
      <c r="I28" s="11" t="s">
        <v>60</v>
      </c>
      <c r="J28" s="11" t="s">
        <v>31</v>
      </c>
      <c r="K28" s="12">
        <v>50000</v>
      </c>
    </row>
    <row r="29" spans="3:11" ht="14.25" customHeight="1">
      <c r="C29" s="15">
        <v>150975</v>
      </c>
      <c r="D29" s="11" t="s">
        <v>84</v>
      </c>
      <c r="E29" s="11" t="s">
        <v>85</v>
      </c>
      <c r="F29" s="14">
        <v>31478</v>
      </c>
      <c r="G29" s="13" t="s">
        <v>29</v>
      </c>
      <c r="H29" s="11" t="s">
        <v>16</v>
      </c>
      <c r="I29" s="11" t="s">
        <v>77</v>
      </c>
      <c r="J29" s="11" t="s">
        <v>43</v>
      </c>
      <c r="K29" s="12">
        <v>83000</v>
      </c>
    </row>
    <row r="30" spans="3:11" ht="14.25" customHeight="1">
      <c r="C30" s="15">
        <v>150901</v>
      </c>
      <c r="D30" s="11" t="s">
        <v>86</v>
      </c>
      <c r="E30" s="11" t="s">
        <v>87</v>
      </c>
      <c r="F30" s="14">
        <v>32946</v>
      </c>
      <c r="G30" s="13" t="s">
        <v>15</v>
      </c>
      <c r="H30" s="11" t="s">
        <v>16</v>
      </c>
      <c r="I30" s="11" t="s">
        <v>88</v>
      </c>
      <c r="J30" s="11" t="s">
        <v>31</v>
      </c>
      <c r="K30" s="12">
        <v>53000</v>
      </c>
    </row>
    <row r="31" spans="3:11" ht="14.25" customHeight="1">
      <c r="C31" s="15">
        <v>150968</v>
      </c>
      <c r="D31" s="11" t="s">
        <v>89</v>
      </c>
      <c r="E31" s="11" t="s">
        <v>90</v>
      </c>
      <c r="F31" s="14">
        <v>37208</v>
      </c>
      <c r="G31" s="13" t="s">
        <v>29</v>
      </c>
      <c r="H31" s="11" t="s">
        <v>16</v>
      </c>
      <c r="I31" s="11" t="s">
        <v>74</v>
      </c>
      <c r="J31" s="11" t="s">
        <v>31</v>
      </c>
      <c r="K31" s="12">
        <v>65000</v>
      </c>
    </row>
    <row r="32" spans="3:11" ht="14.25" customHeight="1">
      <c r="C32" s="15">
        <v>150773</v>
      </c>
      <c r="D32" s="11" t="s">
        <v>91</v>
      </c>
      <c r="E32" s="11" t="s">
        <v>92</v>
      </c>
      <c r="F32" s="14">
        <v>26860</v>
      </c>
      <c r="G32" s="13" t="s">
        <v>29</v>
      </c>
      <c r="H32" s="11" t="s">
        <v>16</v>
      </c>
      <c r="I32" s="11" t="s">
        <v>77</v>
      </c>
      <c r="J32" s="11" t="s">
        <v>18</v>
      </c>
      <c r="K32" s="12">
        <v>85000</v>
      </c>
    </row>
    <row r="33" spans="3:11" ht="14.25" customHeight="1">
      <c r="C33" s="15">
        <v>150840</v>
      </c>
      <c r="D33" s="11" t="s">
        <v>61</v>
      </c>
      <c r="E33" s="11" t="s">
        <v>93</v>
      </c>
      <c r="F33" s="14">
        <v>23136</v>
      </c>
      <c r="G33" s="13" t="s">
        <v>15</v>
      </c>
      <c r="H33" s="11" t="s">
        <v>16</v>
      </c>
      <c r="I33" s="11" t="s">
        <v>30</v>
      </c>
      <c r="J33" s="11" t="s">
        <v>48</v>
      </c>
      <c r="K33" s="12">
        <v>20000</v>
      </c>
    </row>
    <row r="34" spans="3:11" ht="14.25" customHeight="1">
      <c r="C34" s="15">
        <v>150850</v>
      </c>
      <c r="D34" s="11" t="s">
        <v>51</v>
      </c>
      <c r="E34" s="11" t="s">
        <v>94</v>
      </c>
      <c r="F34" s="14">
        <v>32027</v>
      </c>
      <c r="G34" s="13" t="s">
        <v>29</v>
      </c>
      <c r="H34" s="11" t="s">
        <v>16</v>
      </c>
      <c r="I34" s="11" t="s">
        <v>60</v>
      </c>
      <c r="J34" s="11" t="s">
        <v>48</v>
      </c>
      <c r="K34" s="12">
        <v>47000</v>
      </c>
    </row>
    <row r="35" spans="3:11" ht="14.25" customHeight="1">
      <c r="C35" s="15">
        <v>150962</v>
      </c>
      <c r="D35" s="11" t="s">
        <v>95</v>
      </c>
      <c r="E35" s="11" t="s">
        <v>96</v>
      </c>
      <c r="F35" s="14">
        <v>37773</v>
      </c>
      <c r="G35" s="13" t="s">
        <v>15</v>
      </c>
      <c r="H35" s="11" t="s">
        <v>16</v>
      </c>
      <c r="I35" s="11" t="s">
        <v>38</v>
      </c>
      <c r="J35" s="11" t="s">
        <v>31</v>
      </c>
      <c r="K35" s="12">
        <v>87000</v>
      </c>
    </row>
    <row r="36" spans="3:11" ht="14.25" customHeight="1">
      <c r="C36" s="15">
        <v>150954</v>
      </c>
      <c r="D36" s="11" t="s">
        <v>97</v>
      </c>
      <c r="E36" s="11" t="s">
        <v>96</v>
      </c>
      <c r="F36" s="14">
        <v>35495</v>
      </c>
      <c r="G36" s="13" t="s">
        <v>15</v>
      </c>
      <c r="H36" s="11" t="s">
        <v>16</v>
      </c>
      <c r="I36" s="11" t="s">
        <v>88</v>
      </c>
      <c r="J36" s="11" t="s">
        <v>31</v>
      </c>
      <c r="K36" s="12">
        <v>57000</v>
      </c>
    </row>
    <row r="37" spans="3:11" ht="14.25" customHeight="1">
      <c r="C37" s="15">
        <v>150874</v>
      </c>
      <c r="D37" s="11" t="s">
        <v>98</v>
      </c>
      <c r="E37" s="11" t="s">
        <v>96</v>
      </c>
      <c r="F37" s="14">
        <v>37890</v>
      </c>
      <c r="G37" s="13" t="s">
        <v>15</v>
      </c>
      <c r="H37" s="11" t="s">
        <v>16</v>
      </c>
      <c r="I37" s="11" t="s">
        <v>35</v>
      </c>
      <c r="J37" s="11" t="s">
        <v>48</v>
      </c>
      <c r="K37" s="12">
        <v>27000</v>
      </c>
    </row>
    <row r="38" spans="3:11" ht="14.25" customHeight="1">
      <c r="C38" s="15">
        <v>150798</v>
      </c>
      <c r="D38" s="11" t="s">
        <v>99</v>
      </c>
      <c r="E38" s="11" t="s">
        <v>96</v>
      </c>
      <c r="F38" s="14">
        <v>28276</v>
      </c>
      <c r="G38" s="13" t="s">
        <v>15</v>
      </c>
      <c r="H38" s="11" t="s">
        <v>16</v>
      </c>
      <c r="I38" s="11" t="s">
        <v>23</v>
      </c>
      <c r="J38" s="11" t="s">
        <v>18</v>
      </c>
      <c r="K38" s="12">
        <v>81000</v>
      </c>
    </row>
    <row r="39" spans="3:11" ht="14.25" customHeight="1">
      <c r="C39" s="15">
        <v>150830</v>
      </c>
      <c r="D39" s="11" t="s">
        <v>100</v>
      </c>
      <c r="E39" s="11" t="s">
        <v>101</v>
      </c>
      <c r="F39" s="14">
        <v>29037</v>
      </c>
      <c r="G39" s="13" t="s">
        <v>15</v>
      </c>
      <c r="H39" s="11" t="s">
        <v>16</v>
      </c>
      <c r="I39" s="11" t="s">
        <v>88</v>
      </c>
      <c r="J39" s="11" t="s">
        <v>18</v>
      </c>
      <c r="K39" s="12">
        <v>52000</v>
      </c>
    </row>
    <row r="40" spans="3:11" ht="14.25" customHeight="1">
      <c r="C40" s="15">
        <v>150929</v>
      </c>
      <c r="D40" s="11" t="s">
        <v>102</v>
      </c>
      <c r="E40" s="11" t="s">
        <v>103</v>
      </c>
      <c r="F40" s="14">
        <v>26739</v>
      </c>
      <c r="G40" s="13" t="s">
        <v>29</v>
      </c>
      <c r="H40" s="11" t="s">
        <v>16</v>
      </c>
      <c r="I40" s="11" t="s">
        <v>35</v>
      </c>
      <c r="J40" s="11" t="s">
        <v>31</v>
      </c>
      <c r="K40" s="12">
        <v>58000</v>
      </c>
    </row>
    <row r="41" spans="3:11" ht="14.25" customHeight="1">
      <c r="C41" s="15">
        <v>150982</v>
      </c>
      <c r="D41" s="11" t="s">
        <v>104</v>
      </c>
      <c r="E41" s="11" t="s">
        <v>105</v>
      </c>
      <c r="F41" s="14">
        <v>35574</v>
      </c>
      <c r="G41" s="13" t="s">
        <v>29</v>
      </c>
      <c r="H41" s="11" t="s">
        <v>16</v>
      </c>
      <c r="I41" s="11" t="s">
        <v>35</v>
      </c>
      <c r="J41" s="11" t="s">
        <v>43</v>
      </c>
      <c r="K41" s="12">
        <v>47000</v>
      </c>
    </row>
    <row r="42" spans="3:11" ht="14.25" customHeight="1">
      <c r="C42" s="15">
        <v>150821</v>
      </c>
      <c r="D42" s="11" t="s">
        <v>106</v>
      </c>
      <c r="E42" s="11" t="s">
        <v>107</v>
      </c>
      <c r="F42" s="14">
        <v>29966</v>
      </c>
      <c r="G42" s="13" t="s">
        <v>29</v>
      </c>
      <c r="H42" s="11" t="s">
        <v>22</v>
      </c>
      <c r="I42" s="11" t="s">
        <v>60</v>
      </c>
      <c r="J42" s="11" t="s">
        <v>18</v>
      </c>
      <c r="K42" s="12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3561-43B5-4238-8CB7-EF4D9E507D15}">
  <dimension ref="C1:K1000"/>
  <sheetViews>
    <sheetView tabSelected="1" topLeftCell="B1" zoomScale="113" workbookViewId="0">
      <selection activeCell="K15" sqref="K15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11.6640625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23" t="s">
        <v>121</v>
      </c>
    </row>
    <row r="3" spans="3:11" ht="14.25" customHeight="1">
      <c r="D3" s="23" t="s">
        <v>120</v>
      </c>
    </row>
    <row r="4" spans="3:11" ht="14.25" customHeight="1">
      <c r="D4" s="23" t="s">
        <v>119</v>
      </c>
    </row>
    <row r="5" spans="3:11" ht="14.25" customHeight="1"/>
    <row r="6" spans="3:11" ht="14.25" customHeight="1"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  <c r="H6" s="22" t="s">
        <v>8</v>
      </c>
      <c r="I6" s="22" t="s">
        <v>10</v>
      </c>
      <c r="J6" s="22" t="s">
        <v>9</v>
      </c>
      <c r="K6" s="22" t="s">
        <v>11</v>
      </c>
    </row>
    <row r="7" spans="3:11" ht="14.25" customHeight="1">
      <c r="C7" s="15">
        <v>150834</v>
      </c>
      <c r="D7" s="11" t="s">
        <v>13</v>
      </c>
      <c r="E7" s="11" t="s">
        <v>14</v>
      </c>
      <c r="F7" s="14">
        <v>31199</v>
      </c>
      <c r="G7" s="13" t="s">
        <v>15</v>
      </c>
      <c r="H7" s="11" t="s">
        <v>16</v>
      </c>
      <c r="I7" s="12" t="str">
        <f xml:space="preserve"> IFERROR(VLOOKUP($C7,Source!$C$5:$F$40,MATCH(I$6,Source!C5:$F$5,0),FALSE),"retired")</f>
        <v>North</v>
      </c>
      <c r="J7" s="12" t="str">
        <f xml:space="preserve"> IFERROR(VLOOKUP($C7,Source!$C$5:$F$40,MATCH(J$6,Source!C5:$F$5,0),FALSE),"retired")</f>
        <v>FLM</v>
      </c>
      <c r="K7" s="12">
        <f xml:space="preserve"> IFERROR(VLOOKUP($C7,Source!$C$5:$F$40,MATCH(K$6,Source!C5:$F$5,0),FALSE),"retired")</f>
        <v>48000</v>
      </c>
    </row>
    <row r="8" spans="3:11" ht="14.25" customHeight="1">
      <c r="C8" s="15">
        <v>150784</v>
      </c>
      <c r="D8" s="11" t="s">
        <v>20</v>
      </c>
      <c r="E8" s="11" t="s">
        <v>21</v>
      </c>
      <c r="F8" s="14">
        <v>28365</v>
      </c>
      <c r="G8" s="13" t="s">
        <v>15</v>
      </c>
      <c r="H8" s="11" t="s">
        <v>22</v>
      </c>
      <c r="I8" s="12" t="str">
        <f xml:space="preserve"> IFERROR(VLOOKUP($C8,Source!$C$5:$F$40,MATCH(I$6,Source!C$5:$F5,0),FALSE),"retired")</f>
        <v>North</v>
      </c>
      <c r="J8" s="12" t="str">
        <f xml:space="preserve"> IFERROR(VLOOKUP($C8,Source!$C$5:$F$40,MATCH(J$6,Source!C$5:$F6,0),FALSE),"retired")</f>
        <v>retired</v>
      </c>
      <c r="K8" s="12" t="str">
        <f xml:space="preserve"> IFERROR(VLOOKUP($C8,Source!$C$5:$F$40,MATCH(K$6,Source!C$5:$F6,0),FALSE),"retired")</f>
        <v>retired</v>
      </c>
    </row>
    <row r="9" spans="3:11" ht="14.25" customHeight="1">
      <c r="C9" s="15">
        <v>150791</v>
      </c>
      <c r="D9" s="11" t="s">
        <v>25</v>
      </c>
      <c r="E9" s="11" t="s">
        <v>26</v>
      </c>
      <c r="F9" s="14">
        <v>23346</v>
      </c>
      <c r="G9" s="13" t="s">
        <v>15</v>
      </c>
      <c r="H9" s="11" t="s">
        <v>16</v>
      </c>
      <c r="I9" s="12" t="str">
        <f xml:space="preserve"> IFERROR(VLOOKUP($C9,Source!$C$5:$F$40,MATCH(I$6,Source!C$5:$F5,0),FALSE),"retired")</f>
        <v>North</v>
      </c>
      <c r="J9" s="12" t="str">
        <f xml:space="preserve"> IFERROR(VLOOKUP($C9,Source!$C$5:$F$40,MATCH(J$6,Source!C$5:$F7,0),FALSE),"retired")</f>
        <v>retired</v>
      </c>
      <c r="K9" s="12" t="str">
        <f xml:space="preserve"> IFERROR(VLOOKUP($C9,Source!$C$5:$F$40,MATCH(K$6,Source!C$5:$F7,0),FALSE),"retired")</f>
        <v>retired</v>
      </c>
    </row>
    <row r="10" spans="3:11" ht="14.25" customHeight="1">
      <c r="C10" s="15">
        <v>150940</v>
      </c>
      <c r="D10" s="11" t="s">
        <v>27</v>
      </c>
      <c r="E10" s="11" t="s">
        <v>28</v>
      </c>
      <c r="F10" s="14">
        <v>26906</v>
      </c>
      <c r="G10" s="13" t="s">
        <v>29</v>
      </c>
      <c r="H10" s="11" t="s">
        <v>22</v>
      </c>
      <c r="I10" s="12" t="str">
        <f xml:space="preserve"> IFERROR(VLOOKUP($C10,Source!$C$5:$F$100,MATCH(I$6,Source!C$5:$F6,0),FALSE),"retired")</f>
        <v>retired</v>
      </c>
      <c r="J10" s="12" t="str">
        <f xml:space="preserve"> IFERROR(VLOOKUP($C10,Source!$C$5:$F$40,MATCH(J$6,Source!C$5:$F8,0),FALSE),"retired")</f>
        <v>retired</v>
      </c>
      <c r="K10" s="12" t="str">
        <f xml:space="preserve"> IFERROR(VLOOKUP($C10,Source!$C$5:$F$40,MATCH(K$6,Source!C$5:$F8,0),FALSE),"retired")</f>
        <v>retired</v>
      </c>
    </row>
    <row r="11" spans="3:11" ht="14.25" customHeight="1">
      <c r="C11" s="15">
        <v>150777</v>
      </c>
      <c r="D11" s="11" t="s">
        <v>33</v>
      </c>
      <c r="E11" s="11" t="s">
        <v>34</v>
      </c>
      <c r="F11" s="14">
        <v>21123</v>
      </c>
      <c r="G11" s="13" t="s">
        <v>29</v>
      </c>
      <c r="H11" s="11" t="s">
        <v>16</v>
      </c>
      <c r="I11" s="12" t="str">
        <f xml:space="preserve"> IFERROR(VLOOKUP($C11,Source!$C$5:$F$100,MATCH(I$6,Source!C$5:$F7,0),FALSE),"retired")</f>
        <v>retired</v>
      </c>
      <c r="J11" s="12" t="str">
        <f xml:space="preserve"> IFERROR(VLOOKUP($C11,Source!$C$5:$F$40,MATCH(J$6,Source!C$5:$F9,0),FALSE),"retired")</f>
        <v>retired</v>
      </c>
      <c r="K11" s="12" t="str">
        <f xml:space="preserve"> IFERROR(VLOOKUP($C11,Source!$C$5:$F$40,MATCH(K$6,Source!C$5:$F9,0),FALSE),"retired")</f>
        <v>retired</v>
      </c>
    </row>
    <row r="12" spans="3:11" ht="14.25" customHeight="1">
      <c r="C12" s="15">
        <v>150805</v>
      </c>
      <c r="D12" s="11" t="s">
        <v>25</v>
      </c>
      <c r="E12" s="11" t="s">
        <v>37</v>
      </c>
      <c r="F12" s="14">
        <v>26172</v>
      </c>
      <c r="G12" s="13" t="s">
        <v>29</v>
      </c>
      <c r="H12" s="11" t="s">
        <v>16</v>
      </c>
      <c r="I12" s="12" t="str">
        <f xml:space="preserve"> IFERROR(VLOOKUP($C12,Source!$C$5:$F$100,MATCH(I$6,Source!C$5:$F8,0),FALSE),"retired")</f>
        <v>retired</v>
      </c>
      <c r="J12" s="12" t="str">
        <f xml:space="preserve"> IFERROR(VLOOKUP($C12,Source!$C$5:$F$40,MATCH(J$6,Source!C$5:$F10,0),FALSE),"retired")</f>
        <v>retired</v>
      </c>
      <c r="K12" s="12" t="str">
        <f xml:space="preserve"> IFERROR(VLOOKUP($C12,Source!$C$5:$F$40,MATCH(K$6,Source!C$5:$F10,0),FALSE),"retired")</f>
        <v>retired</v>
      </c>
    </row>
    <row r="13" spans="3:11" ht="14.25" customHeight="1">
      <c r="C13" s="15">
        <v>150990</v>
      </c>
      <c r="D13" s="11" t="s">
        <v>40</v>
      </c>
      <c r="E13" s="11" t="s">
        <v>41</v>
      </c>
      <c r="F13" s="14">
        <v>36400</v>
      </c>
      <c r="G13" s="13" t="s">
        <v>29</v>
      </c>
      <c r="H13" s="11" t="s">
        <v>16</v>
      </c>
      <c r="I13" s="12" t="str">
        <f xml:space="preserve"> IFERROR(VLOOKUP($C13,Source!$C$5:$F$100,MATCH(I$6,Source!C$5:$F9,0),FALSE),"retired")</f>
        <v>retired</v>
      </c>
      <c r="J13" s="12" t="str">
        <f xml:space="preserve"> IFERROR(VLOOKUP($C13,Source!$C$5:$F$40,MATCH(J$6,Source!C$5:$F11,0),FALSE),"retired")</f>
        <v>retired</v>
      </c>
      <c r="K13" s="12" t="str">
        <f xml:space="preserve"> IFERROR(VLOOKUP($C13,Source!$C$5:$F$40,MATCH(K$6,Source!C$5:$F11,0),FALSE),"retired")</f>
        <v>retired</v>
      </c>
    </row>
    <row r="14" spans="3:11" ht="14.25" customHeight="1">
      <c r="C14" s="15">
        <v>150989</v>
      </c>
      <c r="D14" s="11" t="s">
        <v>45</v>
      </c>
      <c r="E14" s="11" t="s">
        <v>41</v>
      </c>
      <c r="F14" s="14">
        <v>33113</v>
      </c>
      <c r="G14" s="13" t="s">
        <v>29</v>
      </c>
      <c r="H14" s="11" t="s">
        <v>16</v>
      </c>
      <c r="I14" s="12" t="str">
        <f xml:space="preserve"> IFERROR(VLOOKUP($C14,Source!$C$5:$F$100,MATCH(I$6,Source!C$5:$F10,0),FALSE),"retired")</f>
        <v>retired</v>
      </c>
      <c r="J14" s="12" t="str">
        <f xml:space="preserve"> IFERROR(VLOOKUP($C14,Source!$C$5:$F$40,MATCH(J$6,Source!C$5:$F12,0),FALSE),"retired")</f>
        <v>retired</v>
      </c>
      <c r="K14" s="12" t="str">
        <f xml:space="preserve"> IFERROR(VLOOKUP($C14,Source!$C$5:$F$40,MATCH(K$6,Source!C$5:$F12,0),FALSE),"retired")</f>
        <v>retired</v>
      </c>
    </row>
    <row r="15" spans="3:11" ht="14.25" customHeight="1">
      <c r="C15" s="15">
        <v>150881</v>
      </c>
      <c r="D15" s="11" t="s">
        <v>46</v>
      </c>
      <c r="E15" s="11" t="s">
        <v>47</v>
      </c>
      <c r="F15" s="14">
        <v>30337</v>
      </c>
      <c r="G15" s="13" t="s">
        <v>29</v>
      </c>
      <c r="H15" s="11" t="s">
        <v>22</v>
      </c>
      <c r="I15" s="12" t="str">
        <f xml:space="preserve"> IFERROR(VLOOKUP($C15,Source!$C$5:$F$100,MATCH(I$6,Source!C$5:$F11,0),FALSE),"retired")</f>
        <v>retired</v>
      </c>
      <c r="J15" s="12" t="str">
        <f xml:space="preserve"> IFERROR(VLOOKUP($C15,Source!$C$5:$F$40,MATCH(J$6,Source!C$5:$F13,0),FALSE),"retired")</f>
        <v>retired</v>
      </c>
      <c r="K15" s="12" t="str">
        <f xml:space="preserve"> IFERROR(VLOOKUP($C15,Source!$C$5:$F$40,MATCH(K$6,Source!C$5:$F13,0),FALSE),"retired")</f>
        <v>retired</v>
      </c>
    </row>
    <row r="16" spans="3:11" ht="14.25" customHeight="1">
      <c r="C16" s="15">
        <v>150814</v>
      </c>
      <c r="D16" s="11" t="s">
        <v>49</v>
      </c>
      <c r="E16" s="11" t="s">
        <v>50</v>
      </c>
      <c r="F16" s="14">
        <v>26246</v>
      </c>
      <c r="G16" s="13" t="s">
        <v>29</v>
      </c>
      <c r="H16" s="11" t="s">
        <v>16</v>
      </c>
      <c r="I16" s="12" t="str">
        <f xml:space="preserve"> IFERROR(VLOOKUP($C16,Source!$C$5:$F$100,MATCH(I$6,Source!C$5:$F12,0),FALSE),"retired")</f>
        <v>retired</v>
      </c>
      <c r="J16" s="12" t="str">
        <f xml:space="preserve"> IFERROR(VLOOKUP($C16,Source!$C$5:$F$40,MATCH(J$6,Source!C$5:$F14,0),FALSE),"retired")</f>
        <v>retired</v>
      </c>
      <c r="K16" s="12" t="str">
        <f xml:space="preserve"> IFERROR(VLOOKUP($C16,Source!$C$5:$F$40,MATCH(K$6,Source!C$5:$F14,0),FALSE),"retired")</f>
        <v>retired</v>
      </c>
    </row>
    <row r="17" spans="3:11" ht="14.25" customHeight="1">
      <c r="C17" s="15">
        <v>150937</v>
      </c>
      <c r="D17" s="11" t="s">
        <v>51</v>
      </c>
      <c r="E17" s="11" t="s">
        <v>52</v>
      </c>
      <c r="F17" s="14">
        <v>24700</v>
      </c>
      <c r="G17" s="13" t="s">
        <v>29</v>
      </c>
      <c r="H17" s="11" t="s">
        <v>16</v>
      </c>
      <c r="I17" s="12" t="str">
        <f xml:space="preserve"> IFERROR(VLOOKUP($C17,Source!$C$5:$F$100,MATCH(I$6,Source!C$5:$F13,0),FALSE),"retired")</f>
        <v>retired</v>
      </c>
      <c r="J17" s="12" t="str">
        <f xml:space="preserve"> IFERROR(VLOOKUP($C17,Source!$C$5:$F$40,MATCH(J$6,Source!C$5:$F15,0),FALSE),"retired")</f>
        <v>retired</v>
      </c>
      <c r="K17" s="12" t="str">
        <f xml:space="preserve"> IFERROR(VLOOKUP($C17,Source!$C$5:$F$40,MATCH(K$6,Source!C$5:$F15,0),FALSE),"retired")</f>
        <v>retired</v>
      </c>
    </row>
    <row r="18" spans="3:11" ht="14.25" customHeight="1">
      <c r="C18" s="15">
        <v>150888</v>
      </c>
      <c r="D18" s="11" t="s">
        <v>53</v>
      </c>
      <c r="E18" s="11" t="s">
        <v>54</v>
      </c>
      <c r="F18" s="14">
        <v>29221</v>
      </c>
      <c r="G18" s="13" t="s">
        <v>29</v>
      </c>
      <c r="H18" s="11" t="s">
        <v>16</v>
      </c>
      <c r="I18" s="12" t="str">
        <f xml:space="preserve"> IFERROR(VLOOKUP($C18,Source!$C$5:$F$100,MATCH(I$6,Source!C$5:$F14,0),FALSE),"retired")</f>
        <v>retired</v>
      </c>
      <c r="J18" s="12" t="str">
        <f xml:space="preserve"> IFERROR(VLOOKUP($C18,Source!$C$5:$F$40,MATCH(J$6,Source!C$5:$F16,0),FALSE),"retired")</f>
        <v>retired</v>
      </c>
      <c r="K18" s="12" t="str">
        <f xml:space="preserve"> IFERROR(VLOOKUP($C18,Source!$C$5:$F$40,MATCH(K$6,Source!C$5:$F16,0),FALSE),"retired")</f>
        <v>retired</v>
      </c>
    </row>
    <row r="19" spans="3:11" ht="14.25" customHeight="1">
      <c r="C19" s="15">
        <v>150865</v>
      </c>
      <c r="D19" s="11" t="s">
        <v>56</v>
      </c>
      <c r="E19" s="11" t="s">
        <v>54</v>
      </c>
      <c r="F19" s="14">
        <v>31279</v>
      </c>
      <c r="G19" s="13" t="s">
        <v>15</v>
      </c>
      <c r="H19" s="11" t="s">
        <v>16</v>
      </c>
      <c r="I19" s="12" t="str">
        <f xml:space="preserve"> IFERROR(VLOOKUP($C19,Source!$C$5:$F$100,MATCH(I$6,Source!C$5:$F15,0),FALSE),"retired")</f>
        <v>retired</v>
      </c>
      <c r="J19" s="12" t="str">
        <f xml:space="preserve"> IFERROR(VLOOKUP($C19,Source!$C$5:$F$40,MATCH(J$6,Source!C$5:$F17,0),FALSE),"retired")</f>
        <v>retired</v>
      </c>
      <c r="K19" s="12" t="str">
        <f xml:space="preserve"> IFERROR(VLOOKUP($C19,Source!$C$5:$F$40,MATCH(K$6,Source!C$5:$F17,0),FALSE),"retired")</f>
        <v>retired</v>
      </c>
    </row>
    <row r="20" spans="3:11" ht="14.25" customHeight="1">
      <c r="C20" s="15">
        <v>150858</v>
      </c>
      <c r="D20" s="11" t="s">
        <v>58</v>
      </c>
      <c r="E20" s="11" t="s">
        <v>59</v>
      </c>
      <c r="F20" s="14">
        <v>34846</v>
      </c>
      <c r="G20" s="13" t="s">
        <v>29</v>
      </c>
      <c r="H20" s="11" t="s">
        <v>16</v>
      </c>
      <c r="I20" s="12" t="str">
        <f xml:space="preserve"> IFERROR(VLOOKUP($C20,Source!$C$5:$F$100,MATCH(I$6,Source!C$5:$F16,0),FALSE),"retired")</f>
        <v>retired</v>
      </c>
      <c r="J20" s="12" t="str">
        <f xml:space="preserve"> IFERROR(VLOOKUP($C20,Source!$C$5:$F$40,MATCH(J$6,Source!C$5:$F18,0),FALSE),"retired")</f>
        <v>retired</v>
      </c>
      <c r="K20" s="12" t="str">
        <f xml:space="preserve"> IFERROR(VLOOKUP($C20,Source!$C$5:$F$40,MATCH(K$6,Source!C$5:$F18,0),FALSE),"retired")</f>
        <v>retired</v>
      </c>
    </row>
    <row r="21" spans="3:11" ht="14.25" customHeight="1">
      <c r="C21" s="15">
        <v>150930</v>
      </c>
      <c r="D21" s="11" t="s">
        <v>61</v>
      </c>
      <c r="E21" s="11" t="s">
        <v>62</v>
      </c>
      <c r="F21" s="14">
        <v>37027</v>
      </c>
      <c r="G21" s="13" t="s">
        <v>29</v>
      </c>
      <c r="H21" s="11" t="s">
        <v>16</v>
      </c>
      <c r="I21" s="12" t="str">
        <f xml:space="preserve"> IFERROR(VLOOKUP($C21,Source!$C$5:$F$100,MATCH(I$6,Source!C$5:$F17,0),FALSE),"retired")</f>
        <v>retired</v>
      </c>
      <c r="J21" s="12" t="str">
        <f xml:space="preserve"> IFERROR(VLOOKUP($C21,Source!$C$5:$F$40,MATCH(J$6,Source!C$5:$F19,0),FALSE),"retired")</f>
        <v>retired</v>
      </c>
      <c r="K21" s="12" t="str">
        <f xml:space="preserve"> IFERROR(VLOOKUP($C21,Source!$C$5:$F$40,MATCH(K$6,Source!C$5:$F19,0),FALSE),"retired")</f>
        <v>retired</v>
      </c>
    </row>
    <row r="22" spans="3:11" ht="14.25" customHeight="1">
      <c r="C22" s="15">
        <v>150894</v>
      </c>
      <c r="D22" s="11" t="s">
        <v>64</v>
      </c>
      <c r="E22" s="11" t="s">
        <v>65</v>
      </c>
      <c r="F22" s="14">
        <v>37124</v>
      </c>
      <c r="G22" s="13" t="s">
        <v>29</v>
      </c>
      <c r="H22" s="11" t="s">
        <v>16</v>
      </c>
      <c r="I22" s="12" t="str">
        <f xml:space="preserve"> IFERROR(VLOOKUP($C22,Source!$C$5:$F$100,MATCH(I$6,Source!C$5:$F18,0),FALSE),"retired")</f>
        <v>retired</v>
      </c>
      <c r="J22" s="12" t="str">
        <f xml:space="preserve"> IFERROR(VLOOKUP($C22,Source!$C$5:$F$40,MATCH(J$6,Source!C$5:$F20,0),FALSE),"retired")</f>
        <v>retired</v>
      </c>
      <c r="K22" s="12" t="str">
        <f xml:space="preserve"> IFERROR(VLOOKUP($C22,Source!$C$5:$F$40,MATCH(K$6,Source!C$5:$F20,0),FALSE),"retired")</f>
        <v>retired</v>
      </c>
    </row>
    <row r="23" spans="3:11" ht="14.25" customHeight="1">
      <c r="C23" s="15">
        <v>150947</v>
      </c>
      <c r="D23" s="11" t="s">
        <v>66</v>
      </c>
      <c r="E23" s="11" t="s">
        <v>67</v>
      </c>
      <c r="F23" s="14">
        <v>33449</v>
      </c>
      <c r="G23" s="13" t="s">
        <v>15</v>
      </c>
      <c r="H23" s="11" t="s">
        <v>16</v>
      </c>
      <c r="I23" s="12" t="str">
        <f xml:space="preserve"> IFERROR(VLOOKUP($C23,Source!$C$5:$F$100,MATCH(I$6,Source!C$5:$F19,0),FALSE),"retired")</f>
        <v>retired</v>
      </c>
      <c r="J23" s="12" t="str">
        <f xml:space="preserve"> IFERROR(VLOOKUP($C23,Source!$C$5:$F$40,MATCH(J$6,Source!C$5:$F21,0),FALSE),"retired")</f>
        <v>retired</v>
      </c>
      <c r="K23" s="12" t="str">
        <f xml:space="preserve"> IFERROR(VLOOKUP($C23,Source!$C$5:$F$40,MATCH(K$6,Source!C$5:$F21,0),FALSE),"retired")</f>
        <v>retired</v>
      </c>
    </row>
    <row r="24" spans="3:11" ht="14.25" customHeight="1">
      <c r="C24" s="15">
        <v>150905</v>
      </c>
      <c r="D24" s="11" t="s">
        <v>68</v>
      </c>
      <c r="E24" s="11" t="s">
        <v>69</v>
      </c>
      <c r="F24" s="14">
        <v>30819</v>
      </c>
      <c r="G24" s="13" t="s">
        <v>15</v>
      </c>
      <c r="H24" s="11" t="s">
        <v>22</v>
      </c>
      <c r="I24" s="12" t="str">
        <f xml:space="preserve"> IFERROR(VLOOKUP($C24,Source!$C$5:$F$100,MATCH(I$6,Source!C$5:$F20,0),FALSE),"retired")</f>
        <v>retired</v>
      </c>
      <c r="J24" s="12" t="str">
        <f xml:space="preserve"> IFERROR(VLOOKUP($C24,Source!$C$5:$F$40,MATCH(J$6,Source!C$5:$F22,0),FALSE),"retired")</f>
        <v>retired</v>
      </c>
      <c r="K24" s="12" t="str">
        <f xml:space="preserve"> IFERROR(VLOOKUP($C24,Source!$C$5:$F$40,MATCH(K$6,Source!C$5:$F22,0),FALSE),"retired")</f>
        <v>retired</v>
      </c>
    </row>
    <row r="25" spans="3:11" ht="14.25" customHeight="1">
      <c r="C25" s="15">
        <v>150995</v>
      </c>
      <c r="D25" s="11" t="s">
        <v>70</v>
      </c>
      <c r="E25" s="11" t="s">
        <v>71</v>
      </c>
      <c r="F25" s="14">
        <v>35330</v>
      </c>
      <c r="G25" s="13" t="s">
        <v>29</v>
      </c>
      <c r="H25" s="11" t="s">
        <v>16</v>
      </c>
      <c r="I25" s="12" t="str">
        <f xml:space="preserve"> IFERROR(VLOOKUP($C25,Source!$C$5:$F$100,MATCH(I$6,Source!C$5:$F21,0),FALSE),"retired")</f>
        <v>retired</v>
      </c>
      <c r="J25" s="12" t="str">
        <f xml:space="preserve"> IFERROR(VLOOKUP($C25,Source!$C$5:$F$40,MATCH(J$6,Source!C$5:$F23,0),FALSE),"retired")</f>
        <v>retired</v>
      </c>
      <c r="K25" s="12" t="str">
        <f xml:space="preserve"> IFERROR(VLOOKUP($C25,Source!$C$5:$F$40,MATCH(K$6,Source!C$5:$F23,0),FALSE),"retired")</f>
        <v>retired</v>
      </c>
    </row>
    <row r="26" spans="3:11" ht="14.25" customHeight="1">
      <c r="C26" s="15">
        <v>150912</v>
      </c>
      <c r="D26" s="11" t="s">
        <v>72</v>
      </c>
      <c r="E26" s="11" t="s">
        <v>73</v>
      </c>
      <c r="F26" s="14">
        <v>37629</v>
      </c>
      <c r="G26" s="13" t="s">
        <v>15</v>
      </c>
      <c r="H26" s="11" t="s">
        <v>16</v>
      </c>
      <c r="I26" s="12" t="str">
        <f xml:space="preserve"> IFERROR(VLOOKUP($C26,Source!$C$5:$F$100,MATCH(I$6,Source!C$5:$F22,0),FALSE),"retired")</f>
        <v>retired</v>
      </c>
      <c r="J26" s="12" t="str">
        <f xml:space="preserve"> IFERROR(VLOOKUP($C26,Source!$C$5:$F$40,MATCH(J$6,Source!C$5:$F24,0),FALSE),"retired")</f>
        <v>retired</v>
      </c>
      <c r="K26" s="12" t="str">
        <f xml:space="preserve"> IFERROR(VLOOKUP($C26,Source!$C$5:$F$40,MATCH(K$6,Source!C$5:$F24,0),FALSE),"retired")</f>
        <v>retired</v>
      </c>
    </row>
    <row r="27" spans="3:11" ht="14.25" customHeight="1">
      <c r="C27" s="15">
        <v>150921</v>
      </c>
      <c r="D27" s="11" t="s">
        <v>75</v>
      </c>
      <c r="E27" s="11" t="s">
        <v>76</v>
      </c>
      <c r="F27" s="14">
        <v>38092</v>
      </c>
      <c r="G27" s="13" t="s">
        <v>29</v>
      </c>
      <c r="H27" s="11" t="s">
        <v>16</v>
      </c>
      <c r="I27" s="12" t="str">
        <f xml:space="preserve"> IFERROR(VLOOKUP($C27,Source!$C$5:$F$100,MATCH(I$6,Source!C$5:$F23,0),FALSE),"retired")</f>
        <v>retired</v>
      </c>
      <c r="J27" s="12" t="str">
        <f xml:space="preserve"> IFERROR(VLOOKUP($C27,Source!$C$5:$F$40,MATCH(J$6,Source!C$5:$F25,0),FALSE),"retired")</f>
        <v>retired</v>
      </c>
      <c r="K27" s="12" t="str">
        <f xml:space="preserve"> IFERROR(VLOOKUP($C27,Source!$C$5:$F$40,MATCH(K$6,Source!C$5:$F25,0),FALSE),"retired")</f>
        <v>retired</v>
      </c>
    </row>
    <row r="28" spans="3:11" ht="14.25" customHeight="1">
      <c r="C28" s="15">
        <v>150851</v>
      </c>
      <c r="D28" s="11" t="s">
        <v>78</v>
      </c>
      <c r="E28" s="11" t="s">
        <v>79</v>
      </c>
      <c r="F28" s="14">
        <v>29368</v>
      </c>
      <c r="G28" s="13" t="s">
        <v>29</v>
      </c>
      <c r="H28" s="11" t="s">
        <v>22</v>
      </c>
      <c r="I28" s="12" t="str">
        <f xml:space="preserve"> IFERROR(VLOOKUP($C28,Source!$C$5:$F$100,MATCH(I$6,Source!C$5:$F24,0),FALSE),"retired")</f>
        <v>retired</v>
      </c>
      <c r="J28" s="12" t="str">
        <f xml:space="preserve"> IFERROR(VLOOKUP($C28,Source!$C$5:$F$40,MATCH(J$6,Source!C$5:$F26,0),FALSE),"retired")</f>
        <v>retired</v>
      </c>
      <c r="K28" s="12" t="str">
        <f xml:space="preserve"> IFERROR(VLOOKUP($C28,Source!$C$5:$F$40,MATCH(K$6,Source!C$5:$F26,0),FALSE),"retired")</f>
        <v>retired</v>
      </c>
    </row>
    <row r="29" spans="3:11" ht="14.25" customHeight="1">
      <c r="C29" s="15">
        <v>150867</v>
      </c>
      <c r="D29" s="11" t="s">
        <v>80</v>
      </c>
      <c r="E29" s="11" t="s">
        <v>81</v>
      </c>
      <c r="F29" s="14">
        <v>29028</v>
      </c>
      <c r="G29" s="13" t="s">
        <v>15</v>
      </c>
      <c r="H29" s="11" t="s">
        <v>22</v>
      </c>
      <c r="I29" s="12" t="str">
        <f xml:space="preserve"> IFERROR(VLOOKUP($C29,Source!$C$5:$F$100,MATCH(I$6,Source!C$5:$F25,0),FALSE),"retired")</f>
        <v>retired</v>
      </c>
      <c r="J29" s="12" t="str">
        <f xml:space="preserve"> IFERROR(VLOOKUP($C29,Source!$C$5:$F$40,MATCH(J$6,Source!C$5:$F27,0),FALSE),"retired")</f>
        <v>retired</v>
      </c>
      <c r="K29" s="12" t="str">
        <f xml:space="preserve"> IFERROR(VLOOKUP($C29,Source!$C$5:$F$40,MATCH(K$6,Source!C$5:$F27,0),FALSE),"retired")</f>
        <v>retired</v>
      </c>
    </row>
    <row r="30" spans="3:11" ht="14.25" customHeight="1">
      <c r="C30" s="15">
        <v>150899</v>
      </c>
      <c r="D30" s="11" t="s">
        <v>82</v>
      </c>
      <c r="E30" s="11" t="s">
        <v>83</v>
      </c>
      <c r="F30" s="14">
        <v>37400</v>
      </c>
      <c r="G30" s="13" t="s">
        <v>29</v>
      </c>
      <c r="H30" s="11" t="s">
        <v>16</v>
      </c>
      <c r="I30" s="12" t="str">
        <f xml:space="preserve"> IFERROR(VLOOKUP($C30,Source!$C$5:$F$100,MATCH(I$6,Source!C$5:$F26,0),FALSE),"retired")</f>
        <v>retired</v>
      </c>
      <c r="J30" s="12" t="str">
        <f xml:space="preserve"> IFERROR(VLOOKUP($C30,Source!$C$5:$F$40,MATCH(J$6,Source!C$5:$F28,0),FALSE),"retired")</f>
        <v>retired</v>
      </c>
      <c r="K30" s="12" t="str">
        <f xml:space="preserve"> IFERROR(VLOOKUP($C30,Source!$C$5:$F$40,MATCH(K$6,Source!C$5:$F28,0),FALSE),"retired")</f>
        <v>retired</v>
      </c>
    </row>
    <row r="31" spans="3:11" ht="14.25" customHeight="1">
      <c r="C31" s="15">
        <v>150975</v>
      </c>
      <c r="D31" s="11" t="s">
        <v>84</v>
      </c>
      <c r="E31" s="11" t="s">
        <v>85</v>
      </c>
      <c r="F31" s="14">
        <v>31478</v>
      </c>
      <c r="G31" s="13" t="s">
        <v>29</v>
      </c>
      <c r="H31" s="11" t="s">
        <v>16</v>
      </c>
      <c r="I31" s="12" t="str">
        <f xml:space="preserve"> IFERROR(VLOOKUP($C31,Source!$C$5:$F$100,MATCH(I$6,Source!C$5:$F27,0),FALSE),"retired")</f>
        <v>retired</v>
      </c>
      <c r="J31" s="12" t="str">
        <f xml:space="preserve"> IFERROR(VLOOKUP($C31,Source!$C$5:$F$40,MATCH(J$6,Source!C$5:$F29,0),FALSE),"retired")</f>
        <v>retired</v>
      </c>
      <c r="K31" s="12" t="str">
        <f xml:space="preserve"> IFERROR(VLOOKUP($C31,Source!$C$5:$F$40,MATCH(K$6,Source!C$5:$F29,0),FALSE),"retired")</f>
        <v>retired</v>
      </c>
    </row>
    <row r="32" spans="3:11" ht="14.25" customHeight="1">
      <c r="C32" s="15">
        <v>150901</v>
      </c>
      <c r="D32" s="11" t="s">
        <v>86</v>
      </c>
      <c r="E32" s="11" t="s">
        <v>87</v>
      </c>
      <c r="F32" s="14">
        <v>32946</v>
      </c>
      <c r="G32" s="13" t="s">
        <v>15</v>
      </c>
      <c r="H32" s="11" t="s">
        <v>16</v>
      </c>
      <c r="I32" s="12" t="str">
        <f xml:space="preserve"> IFERROR(VLOOKUP($C32,Source!$C$5:$F$100,MATCH(I$6,Source!C$5:$F28,0),FALSE),"retired")</f>
        <v>retired</v>
      </c>
      <c r="J32" s="12" t="str">
        <f xml:space="preserve"> IFERROR(VLOOKUP($C32,Source!$C$5:$F$40,MATCH(J$6,Source!C$5:$F30,0),FALSE),"retired")</f>
        <v>retired</v>
      </c>
      <c r="K32" s="12" t="str">
        <f xml:space="preserve"> IFERROR(VLOOKUP($C32,Source!$C$5:$F$40,MATCH(K$6,Source!C$5:$F30,0),FALSE),"retired")</f>
        <v>retired</v>
      </c>
    </row>
    <row r="33" spans="3:11" ht="14.25" customHeight="1">
      <c r="C33" s="15">
        <v>150968</v>
      </c>
      <c r="D33" s="11" t="s">
        <v>89</v>
      </c>
      <c r="E33" s="11" t="s">
        <v>90</v>
      </c>
      <c r="F33" s="14">
        <v>37208</v>
      </c>
      <c r="G33" s="13" t="s">
        <v>29</v>
      </c>
      <c r="H33" s="11" t="s">
        <v>16</v>
      </c>
      <c r="I33" s="12" t="str">
        <f xml:space="preserve"> IFERROR(VLOOKUP($C33,Source!$C$5:$F$100,MATCH(I$6,Source!C$5:$F29,0),FALSE),"retired")</f>
        <v>retired</v>
      </c>
      <c r="J33" s="12" t="str">
        <f xml:space="preserve"> IFERROR(VLOOKUP($C33,Source!$C$5:$F$40,MATCH(J$6,Source!C$5:$F31,0),FALSE),"retired")</f>
        <v>retired</v>
      </c>
      <c r="K33" s="12" t="str">
        <f xml:space="preserve"> IFERROR(VLOOKUP($C33,Source!$C$5:$F$40,MATCH(K$6,Source!C$5:$F31,0),FALSE),"retired")</f>
        <v>retired</v>
      </c>
    </row>
    <row r="34" spans="3:11" ht="14.25" customHeight="1">
      <c r="C34" s="15">
        <v>150773</v>
      </c>
      <c r="D34" s="11" t="s">
        <v>91</v>
      </c>
      <c r="E34" s="11" t="s">
        <v>92</v>
      </c>
      <c r="F34" s="14">
        <v>26860</v>
      </c>
      <c r="G34" s="13" t="s">
        <v>29</v>
      </c>
      <c r="H34" s="11" t="s">
        <v>16</v>
      </c>
      <c r="I34" s="12" t="str">
        <f xml:space="preserve"> IFERROR(VLOOKUP($C34,Source!$C$5:$F$100,MATCH(I$6,Source!C$5:$F30,0),FALSE),"retired")</f>
        <v>retired</v>
      </c>
      <c r="J34" s="12" t="str">
        <f xml:space="preserve"> IFERROR(VLOOKUP($C34,Source!$C$5:$F$40,MATCH(J$6,Source!C$5:$F32,0),FALSE),"retired")</f>
        <v>retired</v>
      </c>
      <c r="K34" s="12" t="str">
        <f xml:space="preserve"> IFERROR(VLOOKUP($C34,Source!$C$5:$F$40,MATCH(K$6,Source!C$5:$F32,0),FALSE),"retired")</f>
        <v>retired</v>
      </c>
    </row>
    <row r="35" spans="3:11" ht="14.25" customHeight="1">
      <c r="C35" s="15">
        <v>150840</v>
      </c>
      <c r="D35" s="11" t="s">
        <v>61</v>
      </c>
      <c r="E35" s="11" t="s">
        <v>93</v>
      </c>
      <c r="F35" s="14">
        <v>23136</v>
      </c>
      <c r="G35" s="13" t="s">
        <v>15</v>
      </c>
      <c r="H35" s="11" t="s">
        <v>16</v>
      </c>
      <c r="I35" s="12" t="str">
        <f xml:space="preserve"> IFERROR(VLOOKUP($C35,Source!$C$5:$F$100,MATCH(I$6,Source!C$5:$F31,0),FALSE),"retired")</f>
        <v>retired</v>
      </c>
      <c r="J35" s="12" t="str">
        <f xml:space="preserve"> IFERROR(VLOOKUP($C35,Source!$C$5:$F$40,MATCH(J$6,Source!C$5:$F33,0),FALSE),"retired")</f>
        <v>retired</v>
      </c>
      <c r="K35" s="12" t="str">
        <f xml:space="preserve"> IFERROR(VLOOKUP($C35,Source!$C$5:$F$40,MATCH(K$6,Source!C$5:$F33,0),FALSE),"retired")</f>
        <v>retired</v>
      </c>
    </row>
    <row r="36" spans="3:11" ht="14.25" customHeight="1">
      <c r="C36" s="15">
        <v>150850</v>
      </c>
      <c r="D36" s="11" t="s">
        <v>51</v>
      </c>
      <c r="E36" s="11" t="s">
        <v>94</v>
      </c>
      <c r="F36" s="14">
        <v>32027</v>
      </c>
      <c r="G36" s="13" t="s">
        <v>29</v>
      </c>
      <c r="H36" s="11" t="s">
        <v>16</v>
      </c>
      <c r="I36" s="12" t="str">
        <f xml:space="preserve"> IFERROR(VLOOKUP($C36,Source!$C$5:$F$100,MATCH(I$6,Source!C$5:$F32,0),FALSE),"retired")</f>
        <v>retired</v>
      </c>
      <c r="J36" s="12" t="str">
        <f xml:space="preserve"> IFERROR(VLOOKUP($C36,Source!$C$5:$F$40,MATCH(J$6,Source!C$5:$F34,0),FALSE),"retired")</f>
        <v>retired</v>
      </c>
      <c r="K36" s="12" t="str">
        <f xml:space="preserve"> IFERROR(VLOOKUP($C36,Source!$C$5:$F$40,MATCH(K$6,Source!C$5:$F34,0),FALSE),"retired")</f>
        <v>retired</v>
      </c>
    </row>
    <row r="37" spans="3:11" ht="14.25" customHeight="1">
      <c r="C37" s="15">
        <v>150962</v>
      </c>
      <c r="D37" s="11" t="s">
        <v>95</v>
      </c>
      <c r="E37" s="11" t="s">
        <v>96</v>
      </c>
      <c r="F37" s="14">
        <v>37773</v>
      </c>
      <c r="G37" s="13" t="s">
        <v>15</v>
      </c>
      <c r="H37" s="11" t="s">
        <v>16</v>
      </c>
      <c r="I37" s="12" t="str">
        <f xml:space="preserve"> IFERROR(VLOOKUP($C37,Source!$C$5:$F$100,MATCH(I$6,Source!C$5:$F33,0),FALSE),"retired")</f>
        <v>retired</v>
      </c>
      <c r="J37" s="12" t="str">
        <f xml:space="preserve"> IFERROR(VLOOKUP($C37,Source!$C$5:$F$40,MATCH(J$6,Source!C$5:$F35,0),FALSE),"retired")</f>
        <v>retired</v>
      </c>
      <c r="K37" s="12" t="str">
        <f xml:space="preserve"> IFERROR(VLOOKUP($C37,Source!$C$5:$F$40,MATCH(K$6,Source!C$5:$F35,0),FALSE),"retired")</f>
        <v>retired</v>
      </c>
    </row>
    <row r="38" spans="3:11" ht="14.25" customHeight="1">
      <c r="C38" s="15">
        <v>150954</v>
      </c>
      <c r="D38" s="11" t="s">
        <v>97</v>
      </c>
      <c r="E38" s="11" t="s">
        <v>96</v>
      </c>
      <c r="F38" s="14">
        <v>35495</v>
      </c>
      <c r="G38" s="13" t="s">
        <v>15</v>
      </c>
      <c r="H38" s="11" t="s">
        <v>16</v>
      </c>
      <c r="I38" s="12" t="str">
        <f xml:space="preserve"> IFERROR(VLOOKUP($C38,Source!$C$5:$F$100,MATCH(I$6,Source!C$5:$F34,0),FALSE),"retired")</f>
        <v>retired</v>
      </c>
      <c r="J38" s="12" t="str">
        <f xml:space="preserve"> IFERROR(VLOOKUP($C38,Source!$C$5:$F$40,MATCH(J$6,Source!C$5:$F36,0),FALSE),"retired")</f>
        <v>retired</v>
      </c>
      <c r="K38" s="12" t="str">
        <f xml:space="preserve"> IFERROR(VLOOKUP($C38,Source!$C$5:$F$40,MATCH(K$6,Source!C$5:$F36,0),FALSE),"retired")</f>
        <v>retired</v>
      </c>
    </row>
    <row r="39" spans="3:11" ht="14.25" customHeight="1">
      <c r="C39" s="15">
        <v>150874</v>
      </c>
      <c r="D39" s="11" t="s">
        <v>98</v>
      </c>
      <c r="E39" s="11" t="s">
        <v>96</v>
      </c>
      <c r="F39" s="14">
        <v>37890</v>
      </c>
      <c r="G39" s="13" t="s">
        <v>15</v>
      </c>
      <c r="H39" s="11" t="s">
        <v>16</v>
      </c>
      <c r="I39" s="12" t="str">
        <f xml:space="preserve"> IFERROR(VLOOKUP($C39,Source!$C$5:$F$100,MATCH(I$6,Source!C$5:$F35,0),FALSE),"retired")</f>
        <v>retired</v>
      </c>
      <c r="J39" s="12" t="str">
        <f xml:space="preserve"> IFERROR(VLOOKUP($C39,Source!$C$5:$F$40,MATCH(J$6,Source!C$5:$F37,0),FALSE),"retired")</f>
        <v>retired</v>
      </c>
      <c r="K39" s="12" t="str">
        <f xml:space="preserve"> IFERROR(VLOOKUP($C39,Source!$C$5:$F$40,MATCH(K$6,Source!C$5:$F37,0),FALSE),"retired")</f>
        <v>retired</v>
      </c>
    </row>
    <row r="40" spans="3:11" ht="14.25" customHeight="1">
      <c r="C40" s="15">
        <v>150798</v>
      </c>
      <c r="D40" s="11" t="s">
        <v>99</v>
      </c>
      <c r="E40" s="11" t="s">
        <v>96</v>
      </c>
      <c r="F40" s="14">
        <v>28276</v>
      </c>
      <c r="G40" s="13" t="s">
        <v>15</v>
      </c>
      <c r="H40" s="11" t="s">
        <v>16</v>
      </c>
      <c r="I40" s="12" t="str">
        <f xml:space="preserve"> IFERROR(VLOOKUP($C40,Source!$C$5:$F$100,MATCH(I$6,Source!C$5:$F36,0),FALSE),"retired")</f>
        <v>retired</v>
      </c>
      <c r="J40" s="12" t="str">
        <f xml:space="preserve"> IFERROR(VLOOKUP($C40,Source!$C$5:$F$40,MATCH(J$6,Source!C$5:$F38,0),FALSE),"retired")</f>
        <v>retired</v>
      </c>
      <c r="K40" s="12" t="str">
        <f xml:space="preserve"> IFERROR(VLOOKUP($C40,Source!$C$5:$F$40,MATCH(K$6,Source!C$5:$F38,0),FALSE),"retired")</f>
        <v>retired</v>
      </c>
    </row>
    <row r="41" spans="3:11" ht="14.25" customHeight="1">
      <c r="C41" s="15">
        <v>150830</v>
      </c>
      <c r="D41" s="11" t="s">
        <v>100</v>
      </c>
      <c r="E41" s="11" t="s">
        <v>101</v>
      </c>
      <c r="F41" s="14">
        <v>29037</v>
      </c>
      <c r="G41" s="13" t="s">
        <v>15</v>
      </c>
      <c r="H41" s="11" t="s">
        <v>16</v>
      </c>
      <c r="I41" s="12" t="str">
        <f xml:space="preserve"> IFERROR(VLOOKUP($C41,Source!$C$5:$F$100,MATCH(I$6,Source!C$5:$F37,0),FALSE),"retired")</f>
        <v>retired</v>
      </c>
      <c r="J41" s="12" t="str">
        <f xml:space="preserve"> IFERROR(VLOOKUP($C41,Source!$C$5:$F$40,MATCH(J$6,Source!C$5:$F39,0),FALSE),"retired")</f>
        <v>retired</v>
      </c>
      <c r="K41" s="12" t="str">
        <f xml:space="preserve"> IFERROR(VLOOKUP($C41,Source!$C$5:$F$40,MATCH(K$6,Source!C$5:$F39,0),FALSE),"retired")</f>
        <v>retired</v>
      </c>
    </row>
    <row r="42" spans="3:11" ht="14.25" customHeight="1">
      <c r="C42" s="15">
        <v>150929</v>
      </c>
      <c r="D42" s="11" t="s">
        <v>102</v>
      </c>
      <c r="E42" s="11" t="s">
        <v>103</v>
      </c>
      <c r="F42" s="14">
        <v>26739</v>
      </c>
      <c r="G42" s="13" t="s">
        <v>29</v>
      </c>
      <c r="H42" s="11" t="s">
        <v>16</v>
      </c>
      <c r="I42" s="12" t="str">
        <f xml:space="preserve"> IFERROR(VLOOKUP($C42,Source!$C$5:$F$100,MATCH(I$6,Source!C$5:$F38,0),FALSE),"retired")</f>
        <v>retired</v>
      </c>
      <c r="J42" s="12" t="str">
        <f xml:space="preserve"> IFERROR(VLOOKUP($C42,Source!$C$5:$F$40,MATCH(J$6,Source!C$5:$F40,0),FALSE),"retired")</f>
        <v>retired</v>
      </c>
      <c r="K42" s="12" t="str">
        <f xml:space="preserve"> IFERROR(VLOOKUP($C42,Source!$C$5:$F$40,MATCH(K$6,Source!C$5:$F40,0),FALSE),"retired")</f>
        <v>retired</v>
      </c>
    </row>
    <row r="43" spans="3:11" ht="14.25" customHeight="1">
      <c r="C43" s="15">
        <v>150982</v>
      </c>
      <c r="D43" s="11" t="s">
        <v>104</v>
      </c>
      <c r="E43" s="11" t="s">
        <v>105</v>
      </c>
      <c r="F43" s="14">
        <v>35574</v>
      </c>
      <c r="G43" s="13" t="s">
        <v>29</v>
      </c>
      <c r="H43" s="11" t="s">
        <v>16</v>
      </c>
      <c r="I43" s="12" t="str">
        <f xml:space="preserve"> IFERROR(VLOOKUP($C43,Source!$C$5:$F$100,MATCH(I$6,Source!C$5:$F39,0),FALSE),"retired")</f>
        <v>retired</v>
      </c>
      <c r="J43" s="12" t="str">
        <f xml:space="preserve"> IFERROR(VLOOKUP($C43,Source!$C$5:$F$40,MATCH(J$6,Source!C$5:$F41,0),FALSE),"retired")</f>
        <v>retired</v>
      </c>
      <c r="K43" s="12" t="str">
        <f xml:space="preserve"> IFERROR(VLOOKUP($C43,Source!$C$5:$F$40,MATCH(K$6,Source!C$5:$F41,0),FALSE),"retired")</f>
        <v>retired</v>
      </c>
    </row>
    <row r="44" spans="3:11" ht="14.25" customHeight="1">
      <c r="C44" s="15">
        <v>150821</v>
      </c>
      <c r="D44" s="11" t="s">
        <v>106</v>
      </c>
      <c r="E44" s="11" t="s">
        <v>107</v>
      </c>
      <c r="F44" s="14">
        <v>29966</v>
      </c>
      <c r="G44" s="13" t="s">
        <v>29</v>
      </c>
      <c r="H44" s="11" t="s">
        <v>22</v>
      </c>
      <c r="I44" s="12" t="str">
        <f xml:space="preserve"> IFERROR(VLOOKUP($C44,Source!$C$5:$F$100,MATCH(I$6,Source!C$5:$F40,0),FALSE),"retired")</f>
        <v>retired</v>
      </c>
      <c r="J44" s="12" t="str">
        <f xml:space="preserve"> IFERROR(VLOOKUP($C44,Source!$C$5:$F$40,MATCH(J$6,Source!C$5:$F42,0),FALSE),"retired")</f>
        <v>retired</v>
      </c>
      <c r="K44" s="12" t="str">
        <f xml:space="preserve"> IFERROR(VLOOKUP($C44,Source!$C$5:$F$40,MATCH(K$6,Source!C$5:$F42,0),FALSE),"retired")</f>
        <v>retired</v>
      </c>
    </row>
    <row r="45" spans="3:11" ht="14.25" customHeight="1">
      <c r="I45" s="12"/>
    </row>
    <row r="46" spans="3:11" ht="14.25" customHeight="1">
      <c r="I46" s="12"/>
    </row>
    <row r="47" spans="3:11" ht="14.25" customHeight="1">
      <c r="I47" s="12"/>
    </row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8C4D-F098-4D6E-A91F-71D95FCA44F0}">
  <dimension ref="C1:F1000"/>
  <sheetViews>
    <sheetView zoomScale="145" zoomScaleNormal="145" workbookViewId="0">
      <selection activeCell="I12" sqref="I12"/>
    </sheetView>
  </sheetViews>
  <sheetFormatPr defaultColWidth="14.44140625" defaultRowHeight="15" customHeight="1"/>
  <cols>
    <col min="1" max="2" width="8.6640625" customWidth="1"/>
    <col min="3" max="3" width="16.7773437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24" t="s">
        <v>122</v>
      </c>
      <c r="D5" s="22" t="s">
        <v>9</v>
      </c>
      <c r="E5" s="22" t="s">
        <v>10</v>
      </c>
      <c r="F5" s="22" t="s">
        <v>11</v>
      </c>
    </row>
    <row r="6" spans="3:6" ht="14.25" customHeight="1">
      <c r="C6" s="15">
        <v>150773</v>
      </c>
      <c r="D6" s="11" t="s">
        <v>77</v>
      </c>
      <c r="E6" s="11" t="s">
        <v>18</v>
      </c>
      <c r="F6" s="12">
        <v>85000</v>
      </c>
    </row>
    <row r="7" spans="3:6" ht="14.25" customHeight="1">
      <c r="C7" s="15">
        <v>150777</v>
      </c>
      <c r="D7" s="11" t="s">
        <v>35</v>
      </c>
      <c r="E7" s="11" t="s">
        <v>18</v>
      </c>
      <c r="F7" s="12">
        <v>22000</v>
      </c>
    </row>
    <row r="8" spans="3:6" ht="14.25" customHeight="1">
      <c r="C8" s="15">
        <v>150784</v>
      </c>
      <c r="D8" s="11" t="s">
        <v>23</v>
      </c>
      <c r="E8" s="11" t="s">
        <v>18</v>
      </c>
      <c r="F8" s="12">
        <v>35000</v>
      </c>
    </row>
    <row r="9" spans="3:6" ht="14.25" customHeight="1">
      <c r="C9" s="15">
        <v>150791</v>
      </c>
      <c r="D9" s="11" t="s">
        <v>23</v>
      </c>
      <c r="E9" s="11" t="s">
        <v>18</v>
      </c>
      <c r="F9" s="12">
        <v>67000</v>
      </c>
    </row>
    <row r="10" spans="3:6" ht="14.25" customHeight="1">
      <c r="C10" s="15">
        <v>150798</v>
      </c>
      <c r="D10" s="11" t="s">
        <v>23</v>
      </c>
      <c r="E10" s="11" t="s">
        <v>18</v>
      </c>
      <c r="F10" s="12">
        <v>81000</v>
      </c>
    </row>
    <row r="11" spans="3:6" ht="14.25" customHeight="1">
      <c r="C11" s="15">
        <v>150805</v>
      </c>
      <c r="D11" s="11" t="s">
        <v>38</v>
      </c>
      <c r="E11" s="11" t="s">
        <v>18</v>
      </c>
      <c r="F11" s="12">
        <v>91000</v>
      </c>
    </row>
    <row r="12" spans="3:6" ht="14.25" customHeight="1">
      <c r="C12" s="15">
        <v>150814</v>
      </c>
      <c r="D12" s="11" t="s">
        <v>30</v>
      </c>
      <c r="E12" s="11" t="s">
        <v>18</v>
      </c>
      <c r="F12" s="12">
        <v>50000</v>
      </c>
    </row>
    <row r="13" spans="3:6" ht="14.25" customHeight="1">
      <c r="C13" s="15">
        <v>150821</v>
      </c>
      <c r="D13" s="11" t="s">
        <v>60</v>
      </c>
      <c r="E13" s="11" t="s">
        <v>18</v>
      </c>
      <c r="F13" s="12">
        <v>26000</v>
      </c>
    </row>
    <row r="14" spans="3:6" ht="14.25" customHeight="1">
      <c r="C14" s="15">
        <v>150830</v>
      </c>
      <c r="D14" s="11" t="s">
        <v>88</v>
      </c>
      <c r="E14" s="11" t="s">
        <v>18</v>
      </c>
      <c r="F14" s="12">
        <v>52000</v>
      </c>
    </row>
    <row r="15" spans="3:6" ht="14.25" customHeight="1">
      <c r="C15" s="15">
        <v>150834</v>
      </c>
      <c r="D15" s="11" t="s">
        <v>17</v>
      </c>
      <c r="E15" s="11" t="s">
        <v>18</v>
      </c>
      <c r="F15" s="12">
        <v>48000</v>
      </c>
    </row>
    <row r="16" spans="3:6" ht="14.25" customHeight="1">
      <c r="C16" s="15">
        <v>150840</v>
      </c>
      <c r="D16" s="11" t="s">
        <v>30</v>
      </c>
      <c r="E16" s="11" t="s">
        <v>48</v>
      </c>
      <c r="F16" s="12">
        <v>20000</v>
      </c>
    </row>
    <row r="17" spans="3:6" ht="14.25" customHeight="1">
      <c r="C17" s="15">
        <v>150850</v>
      </c>
      <c r="D17" s="11" t="s">
        <v>60</v>
      </c>
      <c r="E17" s="11" t="s">
        <v>48</v>
      </c>
      <c r="F17" s="12">
        <v>47000</v>
      </c>
    </row>
    <row r="18" spans="3:6" ht="14.25" customHeight="1">
      <c r="C18" s="15">
        <v>150851</v>
      </c>
      <c r="D18" s="11" t="s">
        <v>30</v>
      </c>
      <c r="E18" s="11" t="s">
        <v>48</v>
      </c>
      <c r="F18" s="12">
        <v>75000</v>
      </c>
    </row>
    <row r="19" spans="3:6" ht="14.25" customHeight="1">
      <c r="C19" s="15">
        <v>150865</v>
      </c>
      <c r="D19" s="11" t="s">
        <v>57</v>
      </c>
      <c r="E19" s="11" t="s">
        <v>48</v>
      </c>
      <c r="F19" s="12">
        <v>90000</v>
      </c>
    </row>
    <row r="20" spans="3:6" ht="14.25" customHeight="1">
      <c r="C20" s="15">
        <v>150867</v>
      </c>
      <c r="D20" s="11" t="s">
        <v>77</v>
      </c>
      <c r="E20" s="11" t="s">
        <v>48</v>
      </c>
      <c r="F20" s="12">
        <v>49000</v>
      </c>
    </row>
    <row r="21" spans="3:6" ht="14.25" customHeight="1">
      <c r="C21" s="15">
        <v>150874</v>
      </c>
      <c r="D21" s="11" t="s">
        <v>35</v>
      </c>
      <c r="E21" s="11" t="s">
        <v>48</v>
      </c>
      <c r="F21" s="12">
        <v>27000</v>
      </c>
    </row>
    <row r="22" spans="3:6" ht="14.25" customHeight="1">
      <c r="C22" s="15">
        <v>150881</v>
      </c>
      <c r="D22" s="11" t="s">
        <v>23</v>
      </c>
      <c r="E22" s="11" t="s">
        <v>48</v>
      </c>
      <c r="F22" s="12">
        <v>92000</v>
      </c>
    </row>
    <row r="23" spans="3:6" ht="14.25" customHeight="1">
      <c r="C23" s="15">
        <v>150888</v>
      </c>
      <c r="D23" s="11" t="s">
        <v>42</v>
      </c>
      <c r="E23" s="11" t="s">
        <v>48</v>
      </c>
      <c r="F23" s="12">
        <v>43000</v>
      </c>
    </row>
    <row r="24" spans="3:6" ht="14.25" customHeight="1">
      <c r="C24" s="15">
        <v>150894</v>
      </c>
      <c r="D24" s="11" t="s">
        <v>30</v>
      </c>
      <c r="E24" s="11" t="s">
        <v>31</v>
      </c>
      <c r="F24" s="12">
        <v>67000</v>
      </c>
    </row>
    <row r="25" spans="3:6" ht="14.25" customHeight="1">
      <c r="C25" s="15">
        <v>150901</v>
      </c>
      <c r="D25" s="11" t="s">
        <v>88</v>
      </c>
      <c r="E25" s="11" t="s">
        <v>31</v>
      </c>
      <c r="F25" s="12">
        <v>53000</v>
      </c>
    </row>
    <row r="26" spans="3:6" ht="14.25" customHeight="1">
      <c r="C26" s="15">
        <v>150905</v>
      </c>
      <c r="D26" s="11" t="s">
        <v>17</v>
      </c>
      <c r="E26" s="11" t="s">
        <v>31</v>
      </c>
      <c r="F26" s="12">
        <v>62000</v>
      </c>
    </row>
    <row r="27" spans="3:6" ht="14.25" customHeight="1">
      <c r="C27" s="15">
        <v>150912</v>
      </c>
      <c r="D27" s="11" t="s">
        <v>74</v>
      </c>
      <c r="E27" s="11" t="s">
        <v>31</v>
      </c>
      <c r="F27" s="12">
        <v>81000</v>
      </c>
    </row>
    <row r="28" spans="3:6" ht="14.25" customHeight="1">
      <c r="C28" s="15">
        <v>150921</v>
      </c>
      <c r="D28" s="11" t="s">
        <v>77</v>
      </c>
      <c r="E28" s="11" t="s">
        <v>31</v>
      </c>
      <c r="F28" s="12">
        <v>19000</v>
      </c>
    </row>
    <row r="29" spans="3:6" ht="14.25" customHeight="1">
      <c r="C29" s="15">
        <v>150929</v>
      </c>
      <c r="D29" s="11" t="s">
        <v>35</v>
      </c>
      <c r="E29" s="11" t="s">
        <v>31</v>
      </c>
      <c r="F29" s="12">
        <v>58000</v>
      </c>
    </row>
    <row r="30" spans="3:6" ht="14.25" customHeight="1">
      <c r="C30" s="15">
        <v>150930</v>
      </c>
      <c r="D30" s="11" t="s">
        <v>23</v>
      </c>
      <c r="E30" s="11" t="s">
        <v>31</v>
      </c>
      <c r="F30" s="12">
        <v>82000</v>
      </c>
    </row>
    <row r="31" spans="3:6" ht="14.25" customHeight="1">
      <c r="C31" s="15">
        <v>150937</v>
      </c>
      <c r="D31" s="11" t="s">
        <v>42</v>
      </c>
      <c r="E31" s="11" t="s">
        <v>31</v>
      </c>
      <c r="F31" s="12">
        <v>37000</v>
      </c>
    </row>
    <row r="32" spans="3:6" ht="14.25" customHeight="1">
      <c r="C32" s="15">
        <v>150940</v>
      </c>
      <c r="D32" s="11" t="s">
        <v>30</v>
      </c>
      <c r="E32" s="11" t="s">
        <v>31</v>
      </c>
      <c r="F32" s="12">
        <v>87000</v>
      </c>
    </row>
    <row r="33" spans="3:6" ht="14.25" customHeight="1">
      <c r="C33" s="15">
        <v>150947</v>
      </c>
      <c r="D33" s="11" t="s">
        <v>60</v>
      </c>
      <c r="E33" s="11" t="s">
        <v>31</v>
      </c>
      <c r="F33" s="12">
        <v>85000</v>
      </c>
    </row>
    <row r="34" spans="3:6" ht="14.25" customHeight="1">
      <c r="C34" s="15">
        <v>150962</v>
      </c>
      <c r="D34" s="11" t="s">
        <v>38</v>
      </c>
      <c r="E34" s="11" t="s">
        <v>31</v>
      </c>
      <c r="F34" s="12">
        <v>87000</v>
      </c>
    </row>
    <row r="35" spans="3:6" ht="14.25" customHeight="1">
      <c r="C35" s="15">
        <v>150968</v>
      </c>
      <c r="D35" s="11" t="s">
        <v>74</v>
      </c>
      <c r="E35" s="11" t="s">
        <v>31</v>
      </c>
      <c r="F35" s="12">
        <v>65000</v>
      </c>
    </row>
    <row r="36" spans="3:6" ht="14.25" customHeight="1">
      <c r="C36" s="15">
        <v>150975</v>
      </c>
      <c r="D36" s="11" t="s">
        <v>77</v>
      </c>
      <c r="E36" s="11" t="s">
        <v>43</v>
      </c>
      <c r="F36" s="12">
        <v>83000</v>
      </c>
    </row>
    <row r="37" spans="3:6" ht="14.25" customHeight="1">
      <c r="C37" s="15">
        <v>150982</v>
      </c>
      <c r="D37" s="11" t="s">
        <v>35</v>
      </c>
      <c r="E37" s="11" t="s">
        <v>43</v>
      </c>
      <c r="F37" s="12">
        <v>47000</v>
      </c>
    </row>
    <row r="38" spans="3:6" ht="14.25" customHeight="1">
      <c r="C38" s="15">
        <v>150989</v>
      </c>
      <c r="D38" s="11" t="s">
        <v>23</v>
      </c>
      <c r="E38" s="11" t="s">
        <v>43</v>
      </c>
      <c r="F38" s="12">
        <v>45000</v>
      </c>
    </row>
    <row r="39" spans="3:6" ht="14.25" customHeight="1">
      <c r="C39" s="15">
        <v>150990</v>
      </c>
      <c r="D39" s="11" t="s">
        <v>42</v>
      </c>
      <c r="E39" s="11" t="s">
        <v>43</v>
      </c>
      <c r="F39" s="12">
        <v>77000</v>
      </c>
    </row>
    <row r="40" spans="3:6" ht="14.25" customHeight="1">
      <c r="C40" s="15">
        <v>150995</v>
      </c>
      <c r="D40" s="11" t="s">
        <v>30</v>
      </c>
      <c r="E40" s="11" t="s">
        <v>43</v>
      </c>
      <c r="F40" s="12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B52B-FCD1-4BA7-A878-B29A62186181}">
  <dimension ref="B1:I1000"/>
  <sheetViews>
    <sheetView workbookViewId="0">
      <selection activeCell="D4" sqref="D4"/>
    </sheetView>
  </sheetViews>
  <sheetFormatPr defaultColWidth="14.44140625" defaultRowHeight="15" customHeight="1"/>
  <cols>
    <col min="1" max="1" width="8.6640625" customWidth="1"/>
    <col min="2" max="2" width="19.5546875" customWidth="1"/>
    <col min="3" max="3" width="15.33203125" customWidth="1"/>
    <col min="4" max="4" width="15" customWidth="1"/>
    <col min="5" max="5" width="15.6640625" customWidth="1"/>
    <col min="6" max="6" width="16.6640625" customWidth="1"/>
    <col min="7" max="7" width="4.88671875" customWidth="1"/>
    <col min="8" max="8" width="12" customWidth="1"/>
    <col min="9" max="9" width="29.33203125" customWidth="1"/>
    <col min="10" max="26" width="8.6640625" customWidth="1"/>
  </cols>
  <sheetData>
    <row r="1" spans="2:9" ht="14.25" customHeight="1"/>
    <row r="2" spans="2:9" ht="14.25" customHeight="1"/>
    <row r="3" spans="2:9" ht="14.25" customHeight="1">
      <c r="B3" s="24" t="s">
        <v>143</v>
      </c>
      <c r="C3" s="27">
        <f ca="1">NOW()</f>
        <v>46271.865332754627</v>
      </c>
    </row>
    <row r="4" spans="2:9" ht="14.25" customHeight="1">
      <c r="B4" s="24" t="s">
        <v>142</v>
      </c>
      <c r="C4" s="26">
        <f ca="1">NOW()</f>
        <v>46271.865332754627</v>
      </c>
    </row>
    <row r="5" spans="2:9" ht="14.25" customHeight="1"/>
    <row r="6" spans="2:9" ht="14.25" customHeight="1">
      <c r="B6" s="24" t="s">
        <v>141</v>
      </c>
      <c r="C6" s="24" t="s">
        <v>6</v>
      </c>
      <c r="D6" s="24" t="s">
        <v>140</v>
      </c>
      <c r="E6" s="24" t="s">
        <v>139</v>
      </c>
      <c r="F6" s="24" t="s">
        <v>138</v>
      </c>
      <c r="G6" s="24" t="s">
        <v>137</v>
      </c>
      <c r="H6" s="24" t="s">
        <v>136</v>
      </c>
      <c r="I6" s="24" t="s">
        <v>135</v>
      </c>
    </row>
    <row r="7" spans="2:9" ht="14.25" customHeight="1">
      <c r="B7" s="4" t="s">
        <v>134</v>
      </c>
      <c r="C7" s="5">
        <v>36478</v>
      </c>
      <c r="D7" s="25">
        <f t="shared" ref="D7:D18" si="0">DAY(C7)</f>
        <v>14</v>
      </c>
      <c r="E7" s="25">
        <f t="shared" ref="E7:E18" si="1">MONTH(C7)</f>
        <v>11</v>
      </c>
      <c r="F7" s="25" t="str">
        <f t="shared" ref="F7:F18" si="2">TEXT(C7,"mmmm")</f>
        <v>November</v>
      </c>
      <c r="G7" s="25">
        <f t="shared" ref="G7:G18" si="3">YEAR(C7)</f>
        <v>1999</v>
      </c>
      <c r="H7" s="25">
        <f t="shared" ref="H7:H18" ca="1" si="4">DATEDIF(C7,$C$3,"Y")</f>
        <v>26</v>
      </c>
      <c r="I7" s="25" t="str">
        <f t="shared" ref="I7:I18" ca="1" si="5">DATEDIF(C7,$C$3,"Y")&amp;"Years,"&amp;DATEDIF(C7,$C$3,"YM")&amp;"Months,"&amp;DATEDIF(C7,$C$3,"MD")&amp;"Days"</f>
        <v>26Years,9Months,23Days</v>
      </c>
    </row>
    <row r="8" spans="2:9" ht="14.25" customHeight="1">
      <c r="B8" s="4" t="s">
        <v>133</v>
      </c>
      <c r="C8" s="5">
        <v>37027</v>
      </c>
      <c r="D8" s="25">
        <f t="shared" si="0"/>
        <v>16</v>
      </c>
      <c r="E8" s="25">
        <f t="shared" si="1"/>
        <v>5</v>
      </c>
      <c r="F8" s="25" t="str">
        <f t="shared" si="2"/>
        <v>May</v>
      </c>
      <c r="G8" s="25">
        <f t="shared" si="3"/>
        <v>2001</v>
      </c>
      <c r="H8" s="25">
        <f t="shared" ca="1" si="4"/>
        <v>25</v>
      </c>
      <c r="I8" s="25" t="str">
        <f t="shared" ca="1" si="5"/>
        <v>25Years,3Months,21Days</v>
      </c>
    </row>
    <row r="9" spans="2:9" ht="14.25" customHeight="1">
      <c r="B9" s="4" t="s">
        <v>132</v>
      </c>
      <c r="C9" s="5">
        <v>37946</v>
      </c>
      <c r="D9" s="25">
        <f t="shared" si="0"/>
        <v>21</v>
      </c>
      <c r="E9" s="25">
        <f t="shared" si="1"/>
        <v>11</v>
      </c>
      <c r="F9" s="25" t="str">
        <f t="shared" si="2"/>
        <v>November</v>
      </c>
      <c r="G9" s="25">
        <f t="shared" si="3"/>
        <v>2003</v>
      </c>
      <c r="H9" s="25">
        <f t="shared" ca="1" si="4"/>
        <v>22</v>
      </c>
      <c r="I9" s="25" t="str">
        <f t="shared" ca="1" si="5"/>
        <v>22Years,9Months,16Days</v>
      </c>
    </row>
    <row r="10" spans="2:9" ht="14.25" customHeight="1">
      <c r="B10" s="4" t="s">
        <v>131</v>
      </c>
      <c r="C10" s="5">
        <v>38113</v>
      </c>
      <c r="D10" s="25">
        <f t="shared" si="0"/>
        <v>6</v>
      </c>
      <c r="E10" s="25">
        <f t="shared" si="1"/>
        <v>5</v>
      </c>
      <c r="F10" s="25" t="str">
        <f t="shared" si="2"/>
        <v>May</v>
      </c>
      <c r="G10" s="25">
        <f t="shared" si="3"/>
        <v>2004</v>
      </c>
      <c r="H10" s="25">
        <f t="shared" ca="1" si="4"/>
        <v>22</v>
      </c>
      <c r="I10" s="25" t="str">
        <f t="shared" ca="1" si="5"/>
        <v>22Years,4Months,0Days</v>
      </c>
    </row>
    <row r="11" spans="2:9" ht="14.25" customHeight="1">
      <c r="B11" s="4" t="s">
        <v>130</v>
      </c>
      <c r="C11" s="5">
        <v>38449</v>
      </c>
      <c r="D11" s="25">
        <f t="shared" si="0"/>
        <v>7</v>
      </c>
      <c r="E11" s="25">
        <f t="shared" si="1"/>
        <v>4</v>
      </c>
      <c r="F11" s="25" t="str">
        <f t="shared" si="2"/>
        <v>April</v>
      </c>
      <c r="G11" s="25">
        <f t="shared" si="3"/>
        <v>2005</v>
      </c>
      <c r="H11" s="25">
        <f t="shared" ca="1" si="4"/>
        <v>21</v>
      </c>
      <c r="I11" s="25" t="str">
        <f t="shared" ca="1" si="5"/>
        <v>21Years,4Months,30Days</v>
      </c>
    </row>
    <row r="12" spans="2:9" ht="14.25" customHeight="1">
      <c r="B12" s="4" t="s">
        <v>129</v>
      </c>
      <c r="C12" s="5">
        <v>39846</v>
      </c>
      <c r="D12" s="25">
        <f t="shared" si="0"/>
        <v>2</v>
      </c>
      <c r="E12" s="25">
        <f t="shared" si="1"/>
        <v>2</v>
      </c>
      <c r="F12" s="25" t="str">
        <f t="shared" si="2"/>
        <v>February</v>
      </c>
      <c r="G12" s="25">
        <f t="shared" si="3"/>
        <v>2009</v>
      </c>
      <c r="H12" s="25">
        <f t="shared" ca="1" si="4"/>
        <v>17</v>
      </c>
      <c r="I12" s="25" t="str">
        <f t="shared" ca="1" si="5"/>
        <v>17Years,7Months,4Days</v>
      </c>
    </row>
    <row r="13" spans="2:9" ht="14.25" customHeight="1">
      <c r="B13" s="4" t="s">
        <v>128</v>
      </c>
      <c r="C13" s="5">
        <v>40330</v>
      </c>
      <c r="D13" s="25">
        <f t="shared" si="0"/>
        <v>1</v>
      </c>
      <c r="E13" s="25">
        <f t="shared" si="1"/>
        <v>6</v>
      </c>
      <c r="F13" s="25" t="str">
        <f t="shared" si="2"/>
        <v>June</v>
      </c>
      <c r="G13" s="25">
        <f t="shared" si="3"/>
        <v>2010</v>
      </c>
      <c r="H13" s="25">
        <f t="shared" ca="1" si="4"/>
        <v>16</v>
      </c>
      <c r="I13" s="25" t="str">
        <f t="shared" ca="1" si="5"/>
        <v>16Years,3Months,5Days</v>
      </c>
    </row>
    <row r="14" spans="2:9" ht="14.25" customHeight="1">
      <c r="B14" s="4" t="s">
        <v>127</v>
      </c>
      <c r="C14" s="5">
        <v>40495</v>
      </c>
      <c r="D14" s="25">
        <f t="shared" si="0"/>
        <v>13</v>
      </c>
      <c r="E14" s="25">
        <f t="shared" si="1"/>
        <v>11</v>
      </c>
      <c r="F14" s="25" t="str">
        <f t="shared" si="2"/>
        <v>November</v>
      </c>
      <c r="G14" s="25">
        <f t="shared" si="3"/>
        <v>2010</v>
      </c>
      <c r="H14" s="25">
        <f t="shared" ca="1" si="4"/>
        <v>15</v>
      </c>
      <c r="I14" s="25" t="str">
        <f t="shared" ca="1" si="5"/>
        <v>15Years,9Months,24Days</v>
      </c>
    </row>
    <row r="15" spans="2:9" ht="14.25" customHeight="1">
      <c r="B15" s="4" t="s">
        <v>126</v>
      </c>
      <c r="C15" s="5">
        <v>40574</v>
      </c>
      <c r="D15" s="25">
        <f t="shared" si="0"/>
        <v>31</v>
      </c>
      <c r="E15" s="25">
        <f t="shared" si="1"/>
        <v>1</v>
      </c>
      <c r="F15" s="25" t="str">
        <f t="shared" si="2"/>
        <v>January</v>
      </c>
      <c r="G15" s="25">
        <f t="shared" si="3"/>
        <v>2011</v>
      </c>
      <c r="H15" s="25">
        <f t="shared" ca="1" si="4"/>
        <v>15</v>
      </c>
      <c r="I15" s="25" t="str">
        <f t="shared" ca="1" si="5"/>
        <v>15Years,7Months,6Days</v>
      </c>
    </row>
    <row r="16" spans="2:9" ht="14.25" customHeight="1">
      <c r="B16" s="4" t="s">
        <v>125</v>
      </c>
      <c r="C16" s="5">
        <v>41400</v>
      </c>
      <c r="D16" s="25">
        <f t="shared" si="0"/>
        <v>6</v>
      </c>
      <c r="E16" s="25">
        <f t="shared" si="1"/>
        <v>5</v>
      </c>
      <c r="F16" s="25" t="str">
        <f t="shared" si="2"/>
        <v>May</v>
      </c>
      <c r="G16" s="25">
        <f t="shared" si="3"/>
        <v>2013</v>
      </c>
      <c r="H16" s="25">
        <f t="shared" ca="1" si="4"/>
        <v>13</v>
      </c>
      <c r="I16" s="25" t="str">
        <f t="shared" ca="1" si="5"/>
        <v>13Years,4Months,0Days</v>
      </c>
    </row>
    <row r="17" spans="2:9" ht="14.25" customHeight="1">
      <c r="B17" s="4" t="s">
        <v>124</v>
      </c>
      <c r="C17" s="5">
        <v>42027</v>
      </c>
      <c r="D17" s="25">
        <f t="shared" si="0"/>
        <v>23</v>
      </c>
      <c r="E17" s="25">
        <f t="shared" si="1"/>
        <v>1</v>
      </c>
      <c r="F17" s="25" t="str">
        <f t="shared" si="2"/>
        <v>January</v>
      </c>
      <c r="G17" s="25">
        <f t="shared" si="3"/>
        <v>2015</v>
      </c>
      <c r="H17" s="25">
        <f t="shared" ca="1" si="4"/>
        <v>11</v>
      </c>
      <c r="I17" s="25" t="str">
        <f t="shared" ca="1" si="5"/>
        <v>11Years,7Months,14Days</v>
      </c>
    </row>
    <row r="18" spans="2:9" ht="14.25" customHeight="1">
      <c r="B18" s="4" t="s">
        <v>123</v>
      </c>
      <c r="C18" s="5">
        <v>42124</v>
      </c>
      <c r="D18" s="25">
        <f t="shared" si="0"/>
        <v>30</v>
      </c>
      <c r="E18" s="25">
        <f t="shared" si="1"/>
        <v>4</v>
      </c>
      <c r="F18" s="25" t="str">
        <f t="shared" si="2"/>
        <v>April</v>
      </c>
      <c r="G18" s="25">
        <f t="shared" si="3"/>
        <v>2015</v>
      </c>
      <c r="H18" s="25">
        <f t="shared" ca="1" si="4"/>
        <v>11</v>
      </c>
      <c r="I18" s="25" t="str">
        <f t="shared" ca="1" si="5"/>
        <v>11Years,4Months,7Days</v>
      </c>
    </row>
    <row r="19" spans="2:9" ht="14.25" customHeight="1"/>
    <row r="20" spans="2:9" ht="14.25" customHeight="1"/>
    <row r="21" spans="2:9" ht="14.25" customHeight="1"/>
    <row r="22" spans="2:9" ht="14.25" customHeight="1"/>
    <row r="23" spans="2:9" ht="14.25" customHeight="1"/>
    <row r="24" spans="2:9" ht="14.25" customHeight="1"/>
    <row r="25" spans="2:9" ht="14.25" customHeight="1"/>
    <row r="26" spans="2:9" ht="14.25" customHeight="1"/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11CE-F8C0-4E32-9C9A-4B3B0419CAC5}">
  <dimension ref="B1:F999"/>
  <sheetViews>
    <sheetView workbookViewId="0">
      <selection activeCell="C22" sqref="C22"/>
    </sheetView>
  </sheetViews>
  <sheetFormatPr defaultColWidth="14.44140625" defaultRowHeight="15" customHeight="1"/>
  <cols>
    <col min="1" max="2" width="8.6640625" style="28" customWidth="1"/>
    <col min="3" max="3" width="14.88671875" style="28" customWidth="1"/>
    <col min="4" max="4" width="8.6640625" style="28" customWidth="1"/>
    <col min="5" max="5" width="10.33203125" style="28" customWidth="1"/>
    <col min="6" max="26" width="8.6640625" style="28" customWidth="1"/>
    <col min="27" max="16384" width="14.44140625" style="28"/>
  </cols>
  <sheetData>
    <row r="1" spans="2:6" ht="14.25" customHeight="1"/>
    <row r="2" spans="2:6" ht="14.25" customHeight="1">
      <c r="C2" s="32" t="s">
        <v>160</v>
      </c>
    </row>
    <row r="3" spans="2:6" ht="14.25" customHeight="1">
      <c r="C3" s="32" t="s">
        <v>159</v>
      </c>
    </row>
    <row r="4" spans="2:6" ht="14.25" customHeight="1"/>
    <row r="5" spans="2:6" ht="14.25" customHeight="1">
      <c r="B5" s="29" t="s">
        <v>158</v>
      </c>
      <c r="C5" s="31" t="s">
        <v>157</v>
      </c>
      <c r="D5" s="31" t="s">
        <v>156</v>
      </c>
      <c r="E5" s="31" t="s">
        <v>155</v>
      </c>
      <c r="F5" s="31" t="s">
        <v>154</v>
      </c>
    </row>
    <row r="6" spans="2:6" ht="14.25" customHeight="1">
      <c r="B6" s="29">
        <v>8</v>
      </c>
      <c r="C6" s="31" t="s">
        <v>153</v>
      </c>
      <c r="D6" s="31" t="s">
        <v>151</v>
      </c>
      <c r="E6" s="30">
        <v>44348</v>
      </c>
      <c r="F6" s="31">
        <v>108879</v>
      </c>
    </row>
    <row r="7" spans="2:6" ht="14.25" customHeight="1">
      <c r="B7" s="29">
        <v>27</v>
      </c>
      <c r="C7" s="31" t="s">
        <v>153</v>
      </c>
      <c r="D7" s="31" t="s">
        <v>148</v>
      </c>
      <c r="E7" s="30">
        <v>44470</v>
      </c>
      <c r="F7" s="31">
        <v>165656</v>
      </c>
    </row>
    <row r="8" spans="2:6" ht="14.25" customHeight="1">
      <c r="B8" s="29">
        <v>33</v>
      </c>
      <c r="C8" s="31" t="s">
        <v>153</v>
      </c>
      <c r="D8" s="31" t="s">
        <v>148</v>
      </c>
      <c r="E8" s="30">
        <v>44256</v>
      </c>
      <c r="F8" s="31">
        <v>25467</v>
      </c>
    </row>
    <row r="9" spans="2:6" ht="14.25" customHeight="1">
      <c r="B9" s="29">
        <v>38</v>
      </c>
      <c r="C9" s="31" t="s">
        <v>153</v>
      </c>
      <c r="D9" s="31" t="s">
        <v>144</v>
      </c>
      <c r="E9" s="30">
        <v>44256</v>
      </c>
      <c r="F9" s="31">
        <v>16452</v>
      </c>
    </row>
    <row r="10" spans="2:6" ht="14.25" customHeight="1">
      <c r="B10" s="29">
        <v>46</v>
      </c>
      <c r="C10" s="31" t="s">
        <v>153</v>
      </c>
      <c r="D10" s="31" t="s">
        <v>148</v>
      </c>
      <c r="E10" s="30">
        <v>44440</v>
      </c>
      <c r="F10" s="31">
        <v>135801</v>
      </c>
    </row>
    <row r="11" spans="2:6" ht="14.25" customHeight="1">
      <c r="B11" s="29">
        <v>72</v>
      </c>
      <c r="C11" s="31" t="s">
        <v>153</v>
      </c>
      <c r="D11" s="31" t="s">
        <v>144</v>
      </c>
      <c r="E11" s="30">
        <v>44348</v>
      </c>
      <c r="F11" s="31">
        <v>247286</v>
      </c>
    </row>
    <row r="12" spans="2:6" ht="14.25" customHeight="1">
      <c r="B12" s="29">
        <v>84</v>
      </c>
      <c r="C12" s="31" t="s">
        <v>153</v>
      </c>
      <c r="D12" s="31" t="s">
        <v>146</v>
      </c>
      <c r="E12" s="30">
        <v>44287</v>
      </c>
      <c r="F12" s="31">
        <v>191293</v>
      </c>
    </row>
    <row r="13" spans="2:6" ht="14.25" customHeight="1">
      <c r="B13" s="29">
        <v>88</v>
      </c>
      <c r="C13" s="31" t="s">
        <v>153</v>
      </c>
      <c r="D13" s="31" t="s">
        <v>152</v>
      </c>
      <c r="E13" s="30">
        <v>44197</v>
      </c>
      <c r="F13" s="31">
        <v>36125</v>
      </c>
    </row>
    <row r="14" spans="2:6" ht="14.25" customHeight="1">
      <c r="B14" s="29">
        <v>111</v>
      </c>
      <c r="C14" s="31" t="s">
        <v>153</v>
      </c>
      <c r="D14" s="31" t="s">
        <v>146</v>
      </c>
      <c r="E14" s="30">
        <v>44197</v>
      </c>
      <c r="F14" s="31">
        <v>123287</v>
      </c>
    </row>
    <row r="15" spans="2:6" ht="14.25" customHeight="1">
      <c r="B15" s="29">
        <v>113</v>
      </c>
      <c r="C15" s="31" t="s">
        <v>153</v>
      </c>
      <c r="D15" s="31" t="s">
        <v>146</v>
      </c>
      <c r="E15" s="30">
        <v>44378</v>
      </c>
      <c r="F15" s="31">
        <v>-34980</v>
      </c>
    </row>
    <row r="16" spans="2:6" ht="14.25" customHeight="1">
      <c r="B16" s="29">
        <v>115</v>
      </c>
      <c r="C16" s="31" t="s">
        <v>153</v>
      </c>
      <c r="D16" s="31" t="s">
        <v>144</v>
      </c>
      <c r="E16" s="30">
        <v>44317</v>
      </c>
      <c r="F16" s="31">
        <v>72086</v>
      </c>
    </row>
    <row r="17" spans="2:6" ht="14.25" customHeight="1">
      <c r="B17" s="29">
        <v>127</v>
      </c>
      <c r="C17" s="31" t="s">
        <v>153</v>
      </c>
      <c r="D17" s="31" t="s">
        <v>146</v>
      </c>
      <c r="E17" s="30">
        <v>44470</v>
      </c>
      <c r="F17" s="31">
        <v>84660</v>
      </c>
    </row>
    <row r="18" spans="2:6" ht="14.25" customHeight="1">
      <c r="B18" s="29">
        <v>128</v>
      </c>
      <c r="C18" s="31" t="s">
        <v>153</v>
      </c>
      <c r="D18" s="31" t="s">
        <v>148</v>
      </c>
      <c r="E18" s="30">
        <v>44531</v>
      </c>
      <c r="F18" s="31">
        <v>201069</v>
      </c>
    </row>
    <row r="19" spans="2:6" ht="14.25" customHeight="1">
      <c r="B19" s="29">
        <v>131</v>
      </c>
      <c r="C19" s="31" t="s">
        <v>153</v>
      </c>
      <c r="D19" s="31" t="s">
        <v>146</v>
      </c>
      <c r="E19" s="30">
        <v>44531</v>
      </c>
      <c r="F19" s="31">
        <v>74221</v>
      </c>
    </row>
    <row r="20" spans="2:6" ht="14.25" customHeight="1">
      <c r="B20" s="29">
        <v>165</v>
      </c>
      <c r="C20" s="31" t="s">
        <v>153</v>
      </c>
      <c r="D20" s="31" t="s">
        <v>144</v>
      </c>
      <c r="E20" s="30">
        <v>44348</v>
      </c>
      <c r="F20" s="31">
        <v>155904</v>
      </c>
    </row>
    <row r="21" spans="2:6" ht="14.25" customHeight="1">
      <c r="B21" s="29">
        <v>174</v>
      </c>
      <c r="C21" s="31" t="s">
        <v>153</v>
      </c>
      <c r="D21" s="31" t="s">
        <v>151</v>
      </c>
      <c r="E21" s="30">
        <v>44470</v>
      </c>
      <c r="F21" s="31">
        <v>-37886</v>
      </c>
    </row>
    <row r="22" spans="2:6" ht="14.25" customHeight="1">
      <c r="B22" s="29">
        <v>184</v>
      </c>
      <c r="C22" s="31" t="s">
        <v>153</v>
      </c>
      <c r="D22" s="31" t="s">
        <v>144</v>
      </c>
      <c r="E22" s="30">
        <v>44531</v>
      </c>
      <c r="F22" s="31">
        <v>169991</v>
      </c>
    </row>
    <row r="23" spans="2:6" ht="14.25" customHeight="1">
      <c r="B23" s="29">
        <v>211</v>
      </c>
      <c r="C23" s="31" t="s">
        <v>153</v>
      </c>
      <c r="D23" s="31" t="s">
        <v>146</v>
      </c>
      <c r="E23" s="30">
        <v>44501</v>
      </c>
      <c r="F23" s="31">
        <v>207031</v>
      </c>
    </row>
    <row r="24" spans="2:6" ht="14.25" customHeight="1">
      <c r="B24" s="29">
        <v>221</v>
      </c>
      <c r="C24" s="31" t="s">
        <v>153</v>
      </c>
      <c r="D24" s="31" t="s">
        <v>151</v>
      </c>
      <c r="E24" s="30">
        <v>44501</v>
      </c>
      <c r="F24" s="31">
        <v>39668</v>
      </c>
    </row>
    <row r="25" spans="2:6" ht="14.25" customHeight="1">
      <c r="B25" s="29">
        <v>280</v>
      </c>
      <c r="C25" s="31" t="s">
        <v>153</v>
      </c>
      <c r="D25" s="31" t="s">
        <v>152</v>
      </c>
      <c r="E25" s="30">
        <v>44228</v>
      </c>
      <c r="F25" s="31">
        <v>180474</v>
      </c>
    </row>
    <row r="26" spans="2:6" ht="14.25" customHeight="1">
      <c r="B26" s="29">
        <v>282</v>
      </c>
      <c r="C26" s="31" t="s">
        <v>153</v>
      </c>
      <c r="D26" s="31" t="s">
        <v>146</v>
      </c>
      <c r="E26" s="30">
        <v>44197</v>
      </c>
      <c r="F26" s="31">
        <v>-7921</v>
      </c>
    </row>
    <row r="27" spans="2:6" ht="14.25" customHeight="1">
      <c r="B27" s="29">
        <v>302</v>
      </c>
      <c r="C27" s="31" t="s">
        <v>149</v>
      </c>
      <c r="D27" s="31" t="s">
        <v>144</v>
      </c>
      <c r="E27" s="30">
        <v>44197</v>
      </c>
      <c r="F27" s="31">
        <v>193122</v>
      </c>
    </row>
    <row r="28" spans="2:6" ht="14.25" customHeight="1">
      <c r="B28" s="29">
        <v>309</v>
      </c>
      <c r="C28" s="31" t="s">
        <v>147</v>
      </c>
      <c r="D28" s="31" t="s">
        <v>151</v>
      </c>
      <c r="E28" s="30">
        <v>44409</v>
      </c>
      <c r="F28" s="31">
        <v>149617</v>
      </c>
    </row>
    <row r="29" spans="2:6" ht="14.25" customHeight="1">
      <c r="B29" s="29">
        <v>325</v>
      </c>
      <c r="C29" s="31" t="s">
        <v>149</v>
      </c>
      <c r="D29" s="31" t="s">
        <v>146</v>
      </c>
      <c r="E29" s="30">
        <v>44470</v>
      </c>
      <c r="F29" s="31">
        <v>93656</v>
      </c>
    </row>
    <row r="30" spans="2:6" ht="14.25" customHeight="1">
      <c r="B30" s="29">
        <v>329</v>
      </c>
      <c r="C30" s="31" t="s">
        <v>150</v>
      </c>
      <c r="D30" s="31" t="s">
        <v>148</v>
      </c>
      <c r="E30" s="30">
        <v>44440</v>
      </c>
      <c r="F30" s="31">
        <v>60921</v>
      </c>
    </row>
    <row r="31" spans="2:6" ht="14.25" customHeight="1">
      <c r="B31" s="29">
        <v>342</v>
      </c>
      <c r="C31" s="31" t="s">
        <v>145</v>
      </c>
      <c r="D31" s="31" t="s">
        <v>148</v>
      </c>
      <c r="E31" s="30">
        <v>44197</v>
      </c>
      <c r="F31" s="31">
        <v>180969</v>
      </c>
    </row>
    <row r="32" spans="2:6" ht="14.25" customHeight="1">
      <c r="B32" s="29">
        <v>346</v>
      </c>
      <c r="C32" s="31" t="s">
        <v>150</v>
      </c>
      <c r="D32" s="31" t="s">
        <v>152</v>
      </c>
      <c r="E32" s="30">
        <v>44317</v>
      </c>
      <c r="F32" s="31">
        <v>166490</v>
      </c>
    </row>
    <row r="33" spans="2:6" ht="14.25" customHeight="1">
      <c r="B33" s="29">
        <v>403</v>
      </c>
      <c r="C33" s="31" t="s">
        <v>149</v>
      </c>
      <c r="D33" s="31" t="s">
        <v>152</v>
      </c>
      <c r="E33" s="30">
        <v>44378</v>
      </c>
      <c r="F33" s="31">
        <v>12909</v>
      </c>
    </row>
    <row r="34" spans="2:6" ht="14.25" customHeight="1">
      <c r="B34" s="29">
        <v>405</v>
      </c>
      <c r="C34" s="31" t="s">
        <v>150</v>
      </c>
      <c r="D34" s="31" t="s">
        <v>152</v>
      </c>
      <c r="E34" s="30">
        <v>44531</v>
      </c>
      <c r="F34" s="31">
        <v>219249</v>
      </c>
    </row>
    <row r="35" spans="2:6" ht="14.25" customHeight="1">
      <c r="B35" s="29">
        <v>413</v>
      </c>
      <c r="C35" s="31" t="s">
        <v>149</v>
      </c>
      <c r="D35" s="31" t="s">
        <v>152</v>
      </c>
      <c r="E35" s="30">
        <v>44378</v>
      </c>
      <c r="F35" s="31">
        <v>36046</v>
      </c>
    </row>
    <row r="36" spans="2:6" ht="14.25" customHeight="1">
      <c r="B36" s="29">
        <v>423</v>
      </c>
      <c r="C36" s="31" t="s">
        <v>150</v>
      </c>
      <c r="D36" s="31" t="s">
        <v>148</v>
      </c>
      <c r="E36" s="30">
        <v>44409</v>
      </c>
      <c r="F36" s="31">
        <v>87532</v>
      </c>
    </row>
    <row r="37" spans="2:6" ht="14.25" customHeight="1">
      <c r="B37" s="29">
        <v>441</v>
      </c>
      <c r="C37" s="31" t="s">
        <v>147</v>
      </c>
      <c r="D37" s="31" t="s">
        <v>148</v>
      </c>
      <c r="E37" s="30">
        <v>44531</v>
      </c>
      <c r="F37" s="31">
        <v>82089</v>
      </c>
    </row>
    <row r="38" spans="2:6" ht="14.25" customHeight="1">
      <c r="B38" s="29">
        <v>451</v>
      </c>
      <c r="C38" s="31" t="s">
        <v>150</v>
      </c>
      <c r="D38" s="31" t="s">
        <v>151</v>
      </c>
      <c r="E38" s="30">
        <v>44440</v>
      </c>
      <c r="F38" s="31">
        <v>242254</v>
      </c>
    </row>
    <row r="39" spans="2:6" ht="14.25" customHeight="1">
      <c r="B39" s="29">
        <v>482</v>
      </c>
      <c r="C39" s="31" t="s">
        <v>149</v>
      </c>
      <c r="D39" s="31" t="s">
        <v>148</v>
      </c>
      <c r="E39" s="30">
        <v>44378</v>
      </c>
      <c r="F39" s="31">
        <v>57399</v>
      </c>
    </row>
    <row r="40" spans="2:6" ht="14.25" customHeight="1">
      <c r="B40" s="29">
        <v>492</v>
      </c>
      <c r="C40" s="31" t="s">
        <v>147</v>
      </c>
      <c r="D40" s="31" t="s">
        <v>151</v>
      </c>
      <c r="E40" s="30">
        <v>44197</v>
      </c>
      <c r="F40" s="31">
        <v>244677</v>
      </c>
    </row>
    <row r="41" spans="2:6" ht="14.25" customHeight="1">
      <c r="B41" s="29">
        <v>526</v>
      </c>
      <c r="C41" s="31" t="s">
        <v>150</v>
      </c>
      <c r="D41" s="31" t="s">
        <v>152</v>
      </c>
      <c r="E41" s="30">
        <v>44409</v>
      </c>
      <c r="F41" s="31">
        <v>55010</v>
      </c>
    </row>
    <row r="42" spans="2:6" ht="14.25" customHeight="1">
      <c r="B42" s="29">
        <v>568</v>
      </c>
      <c r="C42" s="31" t="s">
        <v>150</v>
      </c>
      <c r="D42" s="31" t="s">
        <v>146</v>
      </c>
      <c r="E42" s="30">
        <v>44531</v>
      </c>
      <c r="F42" s="31">
        <v>142874</v>
      </c>
    </row>
    <row r="43" spans="2:6" ht="14.25" customHeight="1">
      <c r="B43" s="29">
        <v>591</v>
      </c>
      <c r="C43" s="31" t="s">
        <v>147</v>
      </c>
      <c r="D43" s="31" t="s">
        <v>151</v>
      </c>
      <c r="E43" s="30">
        <v>44531</v>
      </c>
      <c r="F43" s="31">
        <v>166353</v>
      </c>
    </row>
    <row r="44" spans="2:6" ht="14.25" customHeight="1">
      <c r="B44" s="29">
        <v>594</v>
      </c>
      <c r="C44" s="31" t="s">
        <v>149</v>
      </c>
      <c r="D44" s="31" t="s">
        <v>152</v>
      </c>
      <c r="E44" s="30">
        <v>44531</v>
      </c>
      <c r="F44" s="31">
        <v>47888</v>
      </c>
    </row>
    <row r="45" spans="2:6" ht="14.25" customHeight="1">
      <c r="B45" s="29">
        <v>636</v>
      </c>
      <c r="C45" s="31" t="s">
        <v>145</v>
      </c>
      <c r="D45" s="31" t="s">
        <v>151</v>
      </c>
      <c r="E45" s="30">
        <v>44409</v>
      </c>
      <c r="F45" s="31">
        <v>86220</v>
      </c>
    </row>
    <row r="46" spans="2:6" ht="14.25" customHeight="1">
      <c r="B46" s="29">
        <v>640</v>
      </c>
      <c r="C46" s="31" t="s">
        <v>147</v>
      </c>
      <c r="D46" s="31" t="s">
        <v>151</v>
      </c>
      <c r="E46" s="30">
        <v>44287</v>
      </c>
      <c r="F46" s="31">
        <v>27542</v>
      </c>
    </row>
    <row r="47" spans="2:6" ht="14.25" customHeight="1">
      <c r="B47" s="29">
        <v>659</v>
      </c>
      <c r="C47" s="31" t="s">
        <v>145</v>
      </c>
      <c r="D47" s="31" t="s">
        <v>151</v>
      </c>
      <c r="E47" s="30">
        <v>44287</v>
      </c>
      <c r="F47" s="31">
        <v>173199</v>
      </c>
    </row>
    <row r="48" spans="2:6" ht="14.25" customHeight="1">
      <c r="B48" s="29">
        <v>681</v>
      </c>
      <c r="C48" s="31" t="s">
        <v>147</v>
      </c>
      <c r="D48" s="31" t="s">
        <v>144</v>
      </c>
      <c r="E48" s="30">
        <v>44409</v>
      </c>
      <c r="F48" s="31">
        <v>17711</v>
      </c>
    </row>
    <row r="49" spans="2:6" ht="14.25" customHeight="1">
      <c r="B49" s="29">
        <v>686</v>
      </c>
      <c r="C49" s="31" t="s">
        <v>150</v>
      </c>
      <c r="D49" s="31" t="s">
        <v>151</v>
      </c>
      <c r="E49" s="30">
        <v>44470</v>
      </c>
      <c r="F49" s="31">
        <v>18670</v>
      </c>
    </row>
    <row r="50" spans="2:6" ht="14.25" customHeight="1">
      <c r="B50" s="29">
        <v>688</v>
      </c>
      <c r="C50" s="31" t="s">
        <v>150</v>
      </c>
      <c r="D50" s="31" t="s">
        <v>144</v>
      </c>
      <c r="E50" s="30">
        <v>44256</v>
      </c>
      <c r="F50" s="31">
        <v>87460</v>
      </c>
    </row>
    <row r="51" spans="2:6" ht="14.25" customHeight="1">
      <c r="B51" s="29">
        <v>695</v>
      </c>
      <c r="C51" s="31" t="s">
        <v>150</v>
      </c>
      <c r="D51" s="31" t="s">
        <v>152</v>
      </c>
      <c r="E51" s="30">
        <v>44348</v>
      </c>
      <c r="F51" s="31">
        <v>17043</v>
      </c>
    </row>
    <row r="52" spans="2:6" ht="14.25" customHeight="1">
      <c r="B52" s="29">
        <v>706</v>
      </c>
      <c r="C52" s="31" t="s">
        <v>153</v>
      </c>
      <c r="D52" s="31" t="s">
        <v>148</v>
      </c>
      <c r="E52" s="30">
        <v>44197</v>
      </c>
      <c r="F52" s="29">
        <v>48442</v>
      </c>
    </row>
    <row r="53" spans="2:6" ht="14.25" customHeight="1">
      <c r="B53" s="29">
        <v>728</v>
      </c>
      <c r="C53" s="31" t="s">
        <v>153</v>
      </c>
      <c r="D53" s="31" t="s">
        <v>146</v>
      </c>
      <c r="E53" s="30">
        <v>44287</v>
      </c>
      <c r="F53" s="29">
        <v>175220</v>
      </c>
    </row>
    <row r="54" spans="2:6" ht="14.25" customHeight="1">
      <c r="B54" s="29">
        <v>733</v>
      </c>
      <c r="C54" s="31" t="s">
        <v>153</v>
      </c>
      <c r="D54" s="31" t="s">
        <v>148</v>
      </c>
      <c r="E54" s="30">
        <v>44501</v>
      </c>
      <c r="F54" s="29">
        <v>146394</v>
      </c>
    </row>
    <row r="55" spans="2:6" ht="14.25" customHeight="1">
      <c r="B55" s="29">
        <v>738</v>
      </c>
      <c r="C55" s="31" t="s">
        <v>153</v>
      </c>
      <c r="D55" s="31" t="s">
        <v>144</v>
      </c>
      <c r="E55" s="30">
        <v>44531</v>
      </c>
      <c r="F55" s="29">
        <v>158679</v>
      </c>
    </row>
    <row r="56" spans="2:6" ht="14.25" customHeight="1">
      <c r="B56" s="29">
        <v>739</v>
      </c>
      <c r="C56" s="31" t="s">
        <v>153</v>
      </c>
      <c r="D56" s="31" t="s">
        <v>152</v>
      </c>
      <c r="E56" s="30">
        <v>44501</v>
      </c>
      <c r="F56" s="29">
        <v>86186</v>
      </c>
    </row>
    <row r="57" spans="2:6" ht="14.25" customHeight="1">
      <c r="B57" s="29">
        <v>748</v>
      </c>
      <c r="C57" s="31" t="s">
        <v>153</v>
      </c>
      <c r="D57" s="31" t="s">
        <v>146</v>
      </c>
      <c r="E57" s="30">
        <v>44378</v>
      </c>
      <c r="F57" s="29">
        <v>5850</v>
      </c>
    </row>
    <row r="58" spans="2:6" ht="14.25" customHeight="1">
      <c r="B58" s="29">
        <v>762</v>
      </c>
      <c r="C58" s="31" t="s">
        <v>153</v>
      </c>
      <c r="D58" s="31" t="s">
        <v>146</v>
      </c>
      <c r="E58" s="30">
        <v>44348</v>
      </c>
      <c r="F58" s="29">
        <v>-15140</v>
      </c>
    </row>
    <row r="59" spans="2:6" ht="14.25" customHeight="1">
      <c r="B59" s="29">
        <v>777</v>
      </c>
      <c r="C59" s="31" t="s">
        <v>153</v>
      </c>
      <c r="D59" s="31" t="s">
        <v>151</v>
      </c>
      <c r="E59" s="30">
        <v>44348</v>
      </c>
      <c r="F59" s="29">
        <v>190517</v>
      </c>
    </row>
    <row r="60" spans="2:6" ht="14.25" customHeight="1">
      <c r="B60" s="29">
        <v>780</v>
      </c>
      <c r="C60" s="31" t="s">
        <v>153</v>
      </c>
      <c r="D60" s="31" t="s">
        <v>151</v>
      </c>
      <c r="E60" s="30">
        <v>44409</v>
      </c>
      <c r="F60" s="29">
        <v>131983</v>
      </c>
    </row>
    <row r="61" spans="2:6" ht="14.25" customHeight="1">
      <c r="B61" s="29">
        <v>796</v>
      </c>
      <c r="C61" s="31" t="s">
        <v>153</v>
      </c>
      <c r="D61" s="31" t="s">
        <v>148</v>
      </c>
      <c r="E61" s="30">
        <v>44348</v>
      </c>
      <c r="F61" s="29">
        <v>137843</v>
      </c>
    </row>
    <row r="62" spans="2:6" ht="14.25" customHeight="1">
      <c r="B62" s="29">
        <v>803</v>
      </c>
      <c r="C62" s="31" t="s">
        <v>153</v>
      </c>
      <c r="D62" s="31" t="s">
        <v>148</v>
      </c>
      <c r="E62" s="30">
        <v>44378</v>
      </c>
      <c r="F62" s="29">
        <v>96209</v>
      </c>
    </row>
    <row r="63" spans="2:6" ht="14.25" customHeight="1">
      <c r="B63" s="29">
        <v>805</v>
      </c>
      <c r="C63" s="31" t="s">
        <v>153</v>
      </c>
      <c r="D63" s="31" t="s">
        <v>152</v>
      </c>
      <c r="E63" s="30">
        <v>44228</v>
      </c>
      <c r="F63" s="29">
        <v>134977</v>
      </c>
    </row>
    <row r="64" spans="2:6" ht="14.25" customHeight="1">
      <c r="B64" s="29">
        <v>819</v>
      </c>
      <c r="C64" s="31" t="s">
        <v>153</v>
      </c>
      <c r="D64" s="31" t="s">
        <v>152</v>
      </c>
      <c r="E64" s="30">
        <v>44317</v>
      </c>
      <c r="F64" s="29">
        <v>59423</v>
      </c>
    </row>
    <row r="65" spans="2:6" ht="14.25" customHeight="1">
      <c r="B65" s="29">
        <v>825</v>
      </c>
      <c r="C65" s="31" t="s">
        <v>153</v>
      </c>
      <c r="D65" s="31" t="s">
        <v>152</v>
      </c>
      <c r="E65" s="30">
        <v>44348</v>
      </c>
      <c r="F65" s="29">
        <v>32352</v>
      </c>
    </row>
    <row r="66" spans="2:6" ht="14.25" customHeight="1">
      <c r="B66" s="29">
        <v>842</v>
      </c>
      <c r="C66" s="31" t="s">
        <v>153</v>
      </c>
      <c r="D66" s="31" t="s">
        <v>151</v>
      </c>
      <c r="E66" s="30">
        <v>44409</v>
      </c>
      <c r="F66" s="29">
        <v>19225</v>
      </c>
    </row>
    <row r="67" spans="2:6" ht="14.25" customHeight="1">
      <c r="B67" s="29">
        <v>858</v>
      </c>
      <c r="C67" s="31" t="s">
        <v>153</v>
      </c>
      <c r="D67" s="31" t="s">
        <v>151</v>
      </c>
      <c r="E67" s="30">
        <v>44256</v>
      </c>
      <c r="F67" s="29">
        <v>150851</v>
      </c>
    </row>
    <row r="68" spans="2:6" ht="14.25" customHeight="1">
      <c r="B68" s="29">
        <v>864</v>
      </c>
      <c r="C68" s="31" t="s">
        <v>153</v>
      </c>
      <c r="D68" s="31" t="s">
        <v>148</v>
      </c>
      <c r="E68" s="30">
        <v>44348</v>
      </c>
      <c r="F68" s="29">
        <v>7110</v>
      </c>
    </row>
    <row r="69" spans="2:6" ht="14.25" customHeight="1">
      <c r="B69" s="29">
        <v>867</v>
      </c>
      <c r="C69" s="31" t="s">
        <v>153</v>
      </c>
      <c r="D69" s="31" t="s">
        <v>151</v>
      </c>
      <c r="E69" s="30">
        <v>44348</v>
      </c>
      <c r="F69" s="29">
        <v>259896</v>
      </c>
    </row>
    <row r="70" spans="2:6" ht="14.25" customHeight="1">
      <c r="B70" s="29">
        <v>870</v>
      </c>
      <c r="C70" s="31" t="s">
        <v>153</v>
      </c>
      <c r="D70" s="31" t="s">
        <v>152</v>
      </c>
      <c r="E70" s="30">
        <v>44501</v>
      </c>
      <c r="F70" s="29">
        <v>222162</v>
      </c>
    </row>
    <row r="71" spans="2:6" ht="14.25" customHeight="1">
      <c r="B71" s="29">
        <v>874</v>
      </c>
      <c r="C71" s="31" t="s">
        <v>153</v>
      </c>
      <c r="D71" s="31" t="s">
        <v>151</v>
      </c>
      <c r="E71" s="30">
        <v>44470</v>
      </c>
      <c r="F71" s="29">
        <v>5652</v>
      </c>
    </row>
    <row r="72" spans="2:6" ht="14.25" customHeight="1">
      <c r="B72" s="29">
        <v>891</v>
      </c>
      <c r="C72" s="31" t="s">
        <v>153</v>
      </c>
      <c r="D72" s="31" t="s">
        <v>146</v>
      </c>
      <c r="E72" s="30">
        <v>44228</v>
      </c>
      <c r="F72" s="29">
        <v>173392</v>
      </c>
    </row>
    <row r="73" spans="2:6" ht="14.25" customHeight="1">
      <c r="B73" s="29">
        <v>893</v>
      </c>
      <c r="C73" s="31" t="s">
        <v>153</v>
      </c>
      <c r="D73" s="31" t="s">
        <v>151</v>
      </c>
      <c r="E73" s="30">
        <v>44228</v>
      </c>
      <c r="F73" s="29">
        <v>230726</v>
      </c>
    </row>
    <row r="74" spans="2:6" ht="14.25" customHeight="1">
      <c r="B74" s="29">
        <v>894</v>
      </c>
      <c r="C74" s="31" t="s">
        <v>153</v>
      </c>
      <c r="D74" s="31" t="s">
        <v>146</v>
      </c>
      <c r="E74" s="30">
        <v>44470</v>
      </c>
      <c r="F74" s="29">
        <v>154630</v>
      </c>
    </row>
    <row r="75" spans="2:6" ht="14.25" customHeight="1">
      <c r="B75" s="29">
        <v>911</v>
      </c>
      <c r="C75" s="31" t="s">
        <v>153</v>
      </c>
      <c r="D75" s="31" t="s">
        <v>146</v>
      </c>
      <c r="E75" s="30">
        <v>44348</v>
      </c>
      <c r="F75" s="29">
        <v>161165</v>
      </c>
    </row>
    <row r="76" spans="2:6" ht="14.25" customHeight="1">
      <c r="B76" s="29">
        <v>926</v>
      </c>
      <c r="C76" s="31" t="s">
        <v>153</v>
      </c>
      <c r="D76" s="31" t="s">
        <v>144</v>
      </c>
      <c r="E76" s="30">
        <v>44348</v>
      </c>
      <c r="F76" s="29">
        <v>6105</v>
      </c>
    </row>
    <row r="77" spans="2:6" ht="14.25" customHeight="1">
      <c r="B77" s="29">
        <v>930</v>
      </c>
      <c r="C77" s="31" t="s">
        <v>153</v>
      </c>
      <c r="D77" s="31" t="s">
        <v>151</v>
      </c>
      <c r="E77" s="30">
        <v>44256</v>
      </c>
      <c r="F77" s="29">
        <v>34334</v>
      </c>
    </row>
    <row r="78" spans="2:6" ht="14.25" customHeight="1">
      <c r="B78" s="29">
        <v>949</v>
      </c>
      <c r="C78" s="31" t="s">
        <v>153</v>
      </c>
      <c r="D78" s="31" t="s">
        <v>152</v>
      </c>
      <c r="E78" s="30">
        <v>44531</v>
      </c>
      <c r="F78" s="29">
        <v>8406</v>
      </c>
    </row>
    <row r="79" spans="2:6" ht="14.25" customHeight="1">
      <c r="B79" s="29">
        <v>950</v>
      </c>
      <c r="C79" s="31" t="s">
        <v>153</v>
      </c>
      <c r="D79" s="31" t="s">
        <v>152</v>
      </c>
      <c r="E79" s="30">
        <v>44348</v>
      </c>
      <c r="F79" s="29">
        <v>27137</v>
      </c>
    </row>
    <row r="80" spans="2:6" ht="14.25" customHeight="1">
      <c r="B80" s="29">
        <v>952</v>
      </c>
      <c r="C80" s="31" t="s">
        <v>153</v>
      </c>
      <c r="D80" s="31" t="s">
        <v>152</v>
      </c>
      <c r="E80" s="30">
        <v>44378</v>
      </c>
      <c r="F80" s="29">
        <v>7819</v>
      </c>
    </row>
    <row r="81" spans="2:6" ht="14.25" customHeight="1">
      <c r="B81" s="29">
        <v>963</v>
      </c>
      <c r="C81" s="31" t="s">
        <v>153</v>
      </c>
      <c r="D81" s="31" t="s">
        <v>146</v>
      </c>
      <c r="E81" s="30">
        <v>44440</v>
      </c>
      <c r="F81" s="29">
        <v>193691</v>
      </c>
    </row>
    <row r="82" spans="2:6" ht="14.25" customHeight="1">
      <c r="B82" s="29">
        <v>973</v>
      </c>
      <c r="C82" s="31" t="s">
        <v>153</v>
      </c>
      <c r="D82" s="31" t="s">
        <v>146</v>
      </c>
      <c r="E82" s="30">
        <v>44378</v>
      </c>
      <c r="F82" s="29">
        <v>229218</v>
      </c>
    </row>
    <row r="83" spans="2:6" ht="14.25" customHeight="1">
      <c r="B83" s="29">
        <v>977</v>
      </c>
      <c r="C83" s="31" t="s">
        <v>153</v>
      </c>
      <c r="D83" s="31" t="s">
        <v>151</v>
      </c>
      <c r="E83" s="30">
        <v>44317</v>
      </c>
      <c r="F83" s="29">
        <v>82968</v>
      </c>
    </row>
    <row r="84" spans="2:6" ht="14.25" customHeight="1">
      <c r="B84" s="29">
        <v>979</v>
      </c>
      <c r="C84" s="31" t="s">
        <v>153</v>
      </c>
      <c r="D84" s="31" t="s">
        <v>148</v>
      </c>
      <c r="E84" s="30">
        <v>44348</v>
      </c>
      <c r="F84" s="29">
        <v>234786</v>
      </c>
    </row>
    <row r="85" spans="2:6" ht="14.25" customHeight="1">
      <c r="B85" s="29">
        <v>983</v>
      </c>
      <c r="C85" s="31" t="s">
        <v>153</v>
      </c>
      <c r="D85" s="31" t="s">
        <v>146</v>
      </c>
      <c r="E85" s="30">
        <v>44470</v>
      </c>
      <c r="F85" s="29">
        <v>249705</v>
      </c>
    </row>
    <row r="86" spans="2:6" ht="14.25" customHeight="1">
      <c r="B86" s="29">
        <v>1004</v>
      </c>
      <c r="C86" s="31" t="s">
        <v>149</v>
      </c>
      <c r="D86" s="31" t="s">
        <v>144</v>
      </c>
      <c r="E86" s="30">
        <v>44409</v>
      </c>
      <c r="F86" s="29">
        <v>22746</v>
      </c>
    </row>
    <row r="87" spans="2:6" ht="14.25" customHeight="1">
      <c r="B87" s="29">
        <v>1011</v>
      </c>
      <c r="C87" s="31" t="s">
        <v>149</v>
      </c>
      <c r="D87" s="31" t="s">
        <v>146</v>
      </c>
      <c r="E87" s="30">
        <v>44409</v>
      </c>
      <c r="F87" s="29">
        <v>85536</v>
      </c>
    </row>
    <row r="88" spans="2:6" ht="14.25" customHeight="1">
      <c r="B88" s="29">
        <v>1019</v>
      </c>
      <c r="C88" s="31" t="s">
        <v>149</v>
      </c>
      <c r="D88" s="31" t="s">
        <v>148</v>
      </c>
      <c r="E88" s="30">
        <v>44501</v>
      </c>
      <c r="F88" s="29">
        <v>25301</v>
      </c>
    </row>
    <row r="89" spans="2:6" ht="14.25" customHeight="1">
      <c r="B89" s="29">
        <v>1022</v>
      </c>
      <c r="C89" s="31" t="s">
        <v>150</v>
      </c>
      <c r="D89" s="31" t="s">
        <v>146</v>
      </c>
      <c r="E89" s="30">
        <v>44378</v>
      </c>
      <c r="F89" s="29">
        <v>152936</v>
      </c>
    </row>
    <row r="90" spans="2:6" ht="14.25" customHeight="1">
      <c r="B90" s="29">
        <v>1024</v>
      </c>
      <c r="C90" s="31" t="s">
        <v>150</v>
      </c>
      <c r="D90" s="31" t="s">
        <v>146</v>
      </c>
      <c r="E90" s="30">
        <v>44409</v>
      </c>
      <c r="F90" s="29">
        <v>124717</v>
      </c>
    </row>
    <row r="91" spans="2:6" ht="14.25" customHeight="1">
      <c r="B91" s="29">
        <v>1037</v>
      </c>
      <c r="C91" s="31" t="s">
        <v>145</v>
      </c>
      <c r="D91" s="31" t="s">
        <v>146</v>
      </c>
      <c r="E91" s="30">
        <v>44531</v>
      </c>
      <c r="F91" s="29">
        <v>198140</v>
      </c>
    </row>
    <row r="92" spans="2:6" ht="14.25" customHeight="1">
      <c r="B92" s="29">
        <v>1045</v>
      </c>
      <c r="C92" s="31" t="s">
        <v>145</v>
      </c>
      <c r="D92" s="31" t="s">
        <v>152</v>
      </c>
      <c r="E92" s="30">
        <v>44409</v>
      </c>
      <c r="F92" s="29">
        <v>99343</v>
      </c>
    </row>
    <row r="93" spans="2:6" ht="14.25" customHeight="1">
      <c r="B93" s="29">
        <v>1048</v>
      </c>
      <c r="C93" s="31" t="s">
        <v>150</v>
      </c>
      <c r="D93" s="31" t="s">
        <v>146</v>
      </c>
      <c r="E93" s="30">
        <v>44197</v>
      </c>
      <c r="F93" s="29">
        <v>41318</v>
      </c>
    </row>
    <row r="94" spans="2:6" ht="14.25" customHeight="1">
      <c r="B94" s="29">
        <v>1053</v>
      </c>
      <c r="C94" s="31" t="s">
        <v>150</v>
      </c>
      <c r="D94" s="31" t="s">
        <v>148</v>
      </c>
      <c r="E94" s="30">
        <v>44501</v>
      </c>
      <c r="F94" s="29">
        <v>211082</v>
      </c>
    </row>
    <row r="95" spans="2:6" ht="14.25" customHeight="1">
      <c r="B95" s="29">
        <v>1070</v>
      </c>
      <c r="C95" s="31" t="s">
        <v>147</v>
      </c>
      <c r="D95" s="31" t="s">
        <v>146</v>
      </c>
      <c r="E95" s="30">
        <v>44197</v>
      </c>
      <c r="F95" s="29">
        <v>8675</v>
      </c>
    </row>
    <row r="96" spans="2:6" ht="14.25" customHeight="1">
      <c r="B96" s="29">
        <v>1079</v>
      </c>
      <c r="C96" s="31" t="s">
        <v>147</v>
      </c>
      <c r="D96" s="31" t="s">
        <v>144</v>
      </c>
      <c r="E96" s="30">
        <v>44256</v>
      </c>
      <c r="F96" s="29">
        <v>132363</v>
      </c>
    </row>
    <row r="97" spans="2:6" ht="14.25" customHeight="1">
      <c r="B97" s="29">
        <v>1084</v>
      </c>
      <c r="C97" s="31" t="s">
        <v>149</v>
      </c>
      <c r="D97" s="31" t="s">
        <v>151</v>
      </c>
      <c r="E97" s="30">
        <v>44531</v>
      </c>
      <c r="F97" s="29">
        <v>130275</v>
      </c>
    </row>
    <row r="98" spans="2:6" ht="14.25" customHeight="1">
      <c r="B98" s="29">
        <v>1091</v>
      </c>
      <c r="C98" s="31" t="s">
        <v>147</v>
      </c>
      <c r="D98" s="31" t="s">
        <v>146</v>
      </c>
      <c r="E98" s="30">
        <v>44470</v>
      </c>
      <c r="F98" s="29">
        <v>174302</v>
      </c>
    </row>
    <row r="99" spans="2:6" ht="14.25" customHeight="1">
      <c r="B99" s="29">
        <v>1107</v>
      </c>
      <c r="C99" s="31" t="s">
        <v>145</v>
      </c>
      <c r="D99" s="31" t="s">
        <v>144</v>
      </c>
      <c r="E99" s="30">
        <v>44256</v>
      </c>
      <c r="F99" s="29">
        <v>126174</v>
      </c>
    </row>
    <row r="100" spans="2:6" ht="14.25" customHeight="1">
      <c r="B100" s="29">
        <v>1112</v>
      </c>
      <c r="C100" s="31" t="s">
        <v>147</v>
      </c>
      <c r="D100" s="31" t="s">
        <v>148</v>
      </c>
      <c r="E100" s="30">
        <v>44470</v>
      </c>
      <c r="F100" s="29">
        <v>13328</v>
      </c>
    </row>
    <row r="101" spans="2:6" ht="14.25" customHeight="1">
      <c r="B101" s="29">
        <v>1115</v>
      </c>
      <c r="C101" s="31" t="s">
        <v>147</v>
      </c>
      <c r="D101" s="31" t="s">
        <v>152</v>
      </c>
      <c r="E101" s="30">
        <v>44256</v>
      </c>
      <c r="F101" s="29">
        <v>48808</v>
      </c>
    </row>
    <row r="102" spans="2:6" ht="14.25" customHeight="1">
      <c r="B102" s="29">
        <v>1121</v>
      </c>
      <c r="C102" s="31" t="s">
        <v>150</v>
      </c>
      <c r="D102" s="31" t="s">
        <v>148</v>
      </c>
      <c r="E102" s="30">
        <v>44317</v>
      </c>
      <c r="F102" s="29">
        <v>258583</v>
      </c>
    </row>
    <row r="103" spans="2:6" ht="14.25" customHeight="1">
      <c r="B103" s="29">
        <v>1191</v>
      </c>
      <c r="C103" s="31" t="s">
        <v>149</v>
      </c>
      <c r="D103" s="31" t="s">
        <v>151</v>
      </c>
      <c r="E103" s="30">
        <v>44228</v>
      </c>
      <c r="F103" s="29">
        <v>33850</v>
      </c>
    </row>
    <row r="104" spans="2:6" ht="14.25" customHeight="1">
      <c r="B104" s="29">
        <v>1200</v>
      </c>
      <c r="C104" s="31" t="s">
        <v>149</v>
      </c>
      <c r="D104" s="31" t="s">
        <v>148</v>
      </c>
      <c r="E104" s="30">
        <v>44440</v>
      </c>
      <c r="F104" s="29">
        <v>147727</v>
      </c>
    </row>
    <row r="105" spans="2:6" ht="14.25" customHeight="1">
      <c r="B105" s="29">
        <v>1210</v>
      </c>
      <c r="C105" s="31" t="s">
        <v>145</v>
      </c>
      <c r="D105" s="31" t="s">
        <v>148</v>
      </c>
      <c r="E105" s="30">
        <v>44409</v>
      </c>
      <c r="F105" s="29">
        <v>109849</v>
      </c>
    </row>
    <row r="106" spans="2:6" ht="14.25" customHeight="1">
      <c r="B106" s="29">
        <v>1227</v>
      </c>
      <c r="C106" s="31" t="s">
        <v>149</v>
      </c>
      <c r="D106" s="31" t="s">
        <v>148</v>
      </c>
      <c r="E106" s="30">
        <v>44470</v>
      </c>
      <c r="F106" s="29">
        <v>231047</v>
      </c>
    </row>
    <row r="107" spans="2:6" ht="14.25" customHeight="1">
      <c r="B107" s="29">
        <v>1244</v>
      </c>
      <c r="C107" s="31" t="s">
        <v>150</v>
      </c>
      <c r="D107" s="31" t="s">
        <v>151</v>
      </c>
      <c r="E107" s="30">
        <v>44378</v>
      </c>
      <c r="F107" s="29">
        <v>219148</v>
      </c>
    </row>
    <row r="108" spans="2:6" ht="14.25" customHeight="1">
      <c r="B108" s="29">
        <v>1253</v>
      </c>
      <c r="C108" s="31" t="s">
        <v>149</v>
      </c>
      <c r="D108" s="31" t="s">
        <v>152</v>
      </c>
      <c r="E108" s="30">
        <v>44228</v>
      </c>
      <c r="F108" s="29">
        <v>187979</v>
      </c>
    </row>
    <row r="109" spans="2:6" ht="14.25" customHeight="1">
      <c r="B109" s="29">
        <v>1256</v>
      </c>
      <c r="C109" s="31" t="s">
        <v>145</v>
      </c>
      <c r="D109" s="31" t="s">
        <v>151</v>
      </c>
      <c r="E109" s="30">
        <v>44348</v>
      </c>
      <c r="F109" s="29">
        <v>91931</v>
      </c>
    </row>
    <row r="110" spans="2:6" ht="14.25" customHeight="1">
      <c r="B110" s="29">
        <v>1260</v>
      </c>
      <c r="C110" s="31" t="s">
        <v>147</v>
      </c>
      <c r="D110" s="31" t="s">
        <v>146</v>
      </c>
      <c r="E110" s="30">
        <v>44531</v>
      </c>
      <c r="F110" s="29">
        <v>152076</v>
      </c>
    </row>
    <row r="111" spans="2:6" ht="14.25" customHeight="1">
      <c r="B111" s="29">
        <v>1269</v>
      </c>
      <c r="C111" s="31" t="s">
        <v>149</v>
      </c>
      <c r="D111" s="31" t="s">
        <v>151</v>
      </c>
      <c r="E111" s="30">
        <v>44440</v>
      </c>
      <c r="F111" s="29">
        <v>213879</v>
      </c>
    </row>
    <row r="112" spans="2:6" ht="14.25" customHeight="1">
      <c r="B112" s="29">
        <v>1285</v>
      </c>
      <c r="C112" s="31" t="s">
        <v>147</v>
      </c>
      <c r="D112" s="31" t="s">
        <v>151</v>
      </c>
      <c r="E112" s="30">
        <v>44228</v>
      </c>
      <c r="F112" s="29">
        <v>7298</v>
      </c>
    </row>
    <row r="113" spans="2:6" ht="14.25" customHeight="1">
      <c r="B113" s="29">
        <v>1296</v>
      </c>
      <c r="C113" s="31" t="s">
        <v>149</v>
      </c>
      <c r="D113" s="31" t="s">
        <v>146</v>
      </c>
      <c r="E113" s="30">
        <v>44197</v>
      </c>
      <c r="F113" s="29">
        <v>1661</v>
      </c>
    </row>
    <row r="114" spans="2:6" ht="14.25" customHeight="1">
      <c r="B114" s="29">
        <v>1307</v>
      </c>
      <c r="C114" s="31" t="s">
        <v>145</v>
      </c>
      <c r="D114" s="31" t="s">
        <v>151</v>
      </c>
      <c r="E114" s="30">
        <v>44228</v>
      </c>
      <c r="F114" s="29">
        <v>13845</v>
      </c>
    </row>
    <row r="115" spans="2:6" ht="14.25" customHeight="1">
      <c r="B115" s="29">
        <v>1324</v>
      </c>
      <c r="C115" s="31" t="s">
        <v>149</v>
      </c>
      <c r="D115" s="31" t="s">
        <v>144</v>
      </c>
      <c r="E115" s="30">
        <v>44501</v>
      </c>
      <c r="F115" s="29">
        <v>188860</v>
      </c>
    </row>
    <row r="116" spans="2:6" ht="14.25" customHeight="1">
      <c r="B116" s="29">
        <v>1329</v>
      </c>
      <c r="C116" s="31" t="s">
        <v>145</v>
      </c>
      <c r="D116" s="31" t="s">
        <v>144</v>
      </c>
      <c r="E116" s="30">
        <v>44378</v>
      </c>
      <c r="F116" s="29">
        <v>36547</v>
      </c>
    </row>
    <row r="117" spans="2:6" ht="14.25" customHeight="1">
      <c r="B117" s="29">
        <v>1331</v>
      </c>
      <c r="C117" s="31" t="s">
        <v>147</v>
      </c>
      <c r="D117" s="31" t="s">
        <v>146</v>
      </c>
      <c r="E117" s="30">
        <v>44531</v>
      </c>
      <c r="F117" s="29">
        <v>60882</v>
      </c>
    </row>
    <row r="118" spans="2:6" ht="14.25" customHeight="1">
      <c r="B118" s="29">
        <v>1332</v>
      </c>
      <c r="C118" s="31" t="s">
        <v>145</v>
      </c>
      <c r="D118" s="31" t="s">
        <v>148</v>
      </c>
      <c r="E118" s="30">
        <v>44378</v>
      </c>
      <c r="F118" s="29">
        <v>26819</v>
      </c>
    </row>
    <row r="119" spans="2:6" ht="14.25" customHeight="1">
      <c r="B119" s="29">
        <v>1342</v>
      </c>
      <c r="C119" s="31" t="s">
        <v>149</v>
      </c>
      <c r="D119" s="31" t="s">
        <v>148</v>
      </c>
      <c r="E119" s="30">
        <v>44348</v>
      </c>
      <c r="F119" s="29">
        <v>139728</v>
      </c>
    </row>
    <row r="120" spans="2:6" ht="14.25" customHeight="1">
      <c r="B120" s="29">
        <v>1353</v>
      </c>
      <c r="C120" s="31" t="s">
        <v>145</v>
      </c>
      <c r="D120" s="31" t="s">
        <v>144</v>
      </c>
      <c r="E120" s="30">
        <v>44440</v>
      </c>
      <c r="F120" s="29">
        <v>220591</v>
      </c>
    </row>
    <row r="121" spans="2:6" ht="14.25" customHeight="1">
      <c r="B121" s="29">
        <v>1355</v>
      </c>
      <c r="C121" s="31" t="s">
        <v>149</v>
      </c>
      <c r="D121" s="31" t="s">
        <v>146</v>
      </c>
      <c r="E121" s="30">
        <v>44348</v>
      </c>
      <c r="F121" s="29">
        <v>216695</v>
      </c>
    </row>
    <row r="122" spans="2:6" ht="14.25" customHeight="1">
      <c r="B122" s="29">
        <v>1377</v>
      </c>
      <c r="C122" s="31" t="s">
        <v>145</v>
      </c>
      <c r="D122" s="31" t="s">
        <v>148</v>
      </c>
      <c r="E122" s="30">
        <v>44317</v>
      </c>
      <c r="F122" s="29">
        <v>57755</v>
      </c>
    </row>
    <row r="123" spans="2:6" ht="14.25" customHeight="1">
      <c r="B123" s="29">
        <v>1381</v>
      </c>
      <c r="C123" s="31" t="s">
        <v>147</v>
      </c>
      <c r="D123" s="31" t="s">
        <v>144</v>
      </c>
      <c r="E123" s="30">
        <v>44409</v>
      </c>
      <c r="F123" s="29">
        <v>102572</v>
      </c>
    </row>
    <row r="124" spans="2:6" ht="14.25" customHeight="1">
      <c r="B124" s="29">
        <v>1396</v>
      </c>
      <c r="C124" s="31" t="s">
        <v>149</v>
      </c>
      <c r="D124" s="31" t="s">
        <v>152</v>
      </c>
      <c r="E124" s="30">
        <v>44409</v>
      </c>
      <c r="F124" s="29">
        <v>229197</v>
      </c>
    </row>
    <row r="125" spans="2:6" ht="14.25" customHeight="1">
      <c r="B125" s="29">
        <v>1398</v>
      </c>
      <c r="C125" s="31" t="s">
        <v>145</v>
      </c>
      <c r="D125" s="31" t="s">
        <v>144</v>
      </c>
      <c r="E125" s="30">
        <v>44409</v>
      </c>
      <c r="F125" s="29">
        <v>19002</v>
      </c>
    </row>
    <row r="126" spans="2:6" ht="14.25" customHeight="1">
      <c r="B126" s="29">
        <v>1413</v>
      </c>
      <c r="C126" s="31" t="s">
        <v>153</v>
      </c>
      <c r="D126" s="31" t="s">
        <v>151</v>
      </c>
      <c r="E126" s="30">
        <v>44440</v>
      </c>
      <c r="F126" s="29">
        <v>209590</v>
      </c>
    </row>
    <row r="127" spans="2:6" ht="14.25" customHeight="1">
      <c r="B127" s="29">
        <v>1415</v>
      </c>
      <c r="C127" s="31" t="s">
        <v>153</v>
      </c>
      <c r="D127" s="31" t="s">
        <v>152</v>
      </c>
      <c r="E127" s="30">
        <v>44531</v>
      </c>
      <c r="F127" s="29">
        <v>135311</v>
      </c>
    </row>
    <row r="128" spans="2:6" ht="14.25" customHeight="1">
      <c r="B128" s="29">
        <v>1429</v>
      </c>
      <c r="C128" s="31" t="s">
        <v>153</v>
      </c>
      <c r="D128" s="31" t="s">
        <v>148</v>
      </c>
      <c r="E128" s="30">
        <v>44348</v>
      </c>
      <c r="F128" s="29">
        <v>115261</v>
      </c>
    </row>
    <row r="129" spans="2:6" ht="14.25" customHeight="1">
      <c r="B129" s="29">
        <v>1434</v>
      </c>
      <c r="C129" s="31" t="s">
        <v>153</v>
      </c>
      <c r="D129" s="31" t="s">
        <v>151</v>
      </c>
      <c r="E129" s="30">
        <v>44287</v>
      </c>
      <c r="F129" s="29">
        <v>220171</v>
      </c>
    </row>
    <row r="130" spans="2:6" ht="14.25" customHeight="1">
      <c r="B130" s="29">
        <v>1446</v>
      </c>
      <c r="C130" s="31" t="s">
        <v>153</v>
      </c>
      <c r="D130" s="31" t="s">
        <v>148</v>
      </c>
      <c r="E130" s="30">
        <v>44531</v>
      </c>
      <c r="F130" s="29">
        <v>9682</v>
      </c>
    </row>
    <row r="131" spans="2:6" ht="14.25" customHeight="1">
      <c r="B131" s="29">
        <v>1471</v>
      </c>
      <c r="C131" s="31" t="s">
        <v>153</v>
      </c>
      <c r="D131" s="31" t="s">
        <v>144</v>
      </c>
      <c r="E131" s="30">
        <v>44531</v>
      </c>
      <c r="F131" s="29">
        <v>81048</v>
      </c>
    </row>
    <row r="132" spans="2:6" ht="14.25" customHeight="1">
      <c r="B132" s="29">
        <v>1488</v>
      </c>
      <c r="C132" s="31" t="s">
        <v>153</v>
      </c>
      <c r="D132" s="31" t="s">
        <v>152</v>
      </c>
      <c r="E132" s="30">
        <v>44228</v>
      </c>
      <c r="F132" s="29">
        <v>155266</v>
      </c>
    </row>
    <row r="133" spans="2:6" ht="14.25" customHeight="1">
      <c r="B133" s="29">
        <v>1489</v>
      </c>
      <c r="C133" s="31" t="s">
        <v>153</v>
      </c>
      <c r="D133" s="31" t="s">
        <v>144</v>
      </c>
      <c r="E133" s="30">
        <v>44317</v>
      </c>
      <c r="F133" s="29">
        <v>24879</v>
      </c>
    </row>
    <row r="134" spans="2:6" ht="14.25" customHeight="1">
      <c r="B134" s="29">
        <v>1505</v>
      </c>
      <c r="C134" s="31" t="s">
        <v>153</v>
      </c>
      <c r="D134" s="31" t="s">
        <v>152</v>
      </c>
      <c r="E134" s="30">
        <v>44470</v>
      </c>
      <c r="F134" s="29">
        <v>24838</v>
      </c>
    </row>
    <row r="135" spans="2:6" ht="14.25" customHeight="1">
      <c r="B135" s="29">
        <v>1525</v>
      </c>
      <c r="C135" s="31" t="s">
        <v>153</v>
      </c>
      <c r="D135" s="31" t="s">
        <v>152</v>
      </c>
      <c r="E135" s="30">
        <v>44228</v>
      </c>
      <c r="F135" s="29">
        <v>105602</v>
      </c>
    </row>
    <row r="136" spans="2:6" ht="14.25" customHeight="1">
      <c r="B136" s="29">
        <v>1526</v>
      </c>
      <c r="C136" s="31" t="s">
        <v>153</v>
      </c>
      <c r="D136" s="31" t="s">
        <v>146</v>
      </c>
      <c r="E136" s="30">
        <v>44287</v>
      </c>
      <c r="F136" s="29">
        <v>214102</v>
      </c>
    </row>
    <row r="137" spans="2:6" ht="14.25" customHeight="1">
      <c r="B137" s="29">
        <v>1531</v>
      </c>
      <c r="C137" s="31" t="s">
        <v>153</v>
      </c>
      <c r="D137" s="31" t="s">
        <v>146</v>
      </c>
      <c r="E137" s="30">
        <v>44440</v>
      </c>
      <c r="F137" s="29">
        <v>27327</v>
      </c>
    </row>
    <row r="138" spans="2:6" ht="14.25" customHeight="1">
      <c r="B138" s="29">
        <v>1537</v>
      </c>
      <c r="C138" s="31" t="s">
        <v>153</v>
      </c>
      <c r="D138" s="31" t="s">
        <v>148</v>
      </c>
      <c r="E138" s="30">
        <v>44197</v>
      </c>
      <c r="F138" s="29">
        <v>142596</v>
      </c>
    </row>
    <row r="139" spans="2:6" ht="14.25" customHeight="1">
      <c r="B139" s="29">
        <v>1540</v>
      </c>
      <c r="C139" s="31" t="s">
        <v>153</v>
      </c>
      <c r="D139" s="31" t="s">
        <v>148</v>
      </c>
      <c r="E139" s="30">
        <v>44348</v>
      </c>
      <c r="F139" s="29">
        <v>165992</v>
      </c>
    </row>
    <row r="140" spans="2:6" ht="14.25" customHeight="1">
      <c r="B140" s="29">
        <v>1547</v>
      </c>
      <c r="C140" s="31" t="s">
        <v>153</v>
      </c>
      <c r="D140" s="31" t="s">
        <v>146</v>
      </c>
      <c r="E140" s="30">
        <v>44531</v>
      </c>
      <c r="F140" s="29">
        <v>129328</v>
      </c>
    </row>
    <row r="141" spans="2:6" ht="14.25" customHeight="1">
      <c r="B141" s="29">
        <v>1553</v>
      </c>
      <c r="C141" s="31" t="s">
        <v>153</v>
      </c>
      <c r="D141" s="31" t="s">
        <v>151</v>
      </c>
      <c r="E141" s="30">
        <v>44470</v>
      </c>
      <c r="F141" s="29">
        <v>86460</v>
      </c>
    </row>
    <row r="142" spans="2:6" ht="14.25" customHeight="1">
      <c r="B142" s="29">
        <v>1567</v>
      </c>
      <c r="C142" s="31" t="s">
        <v>153</v>
      </c>
      <c r="D142" s="31" t="s">
        <v>151</v>
      </c>
      <c r="E142" s="30">
        <v>44228</v>
      </c>
      <c r="F142" s="29">
        <v>22003</v>
      </c>
    </row>
    <row r="143" spans="2:6" ht="14.25" customHeight="1">
      <c r="B143" s="29">
        <v>1572</v>
      </c>
      <c r="C143" s="31" t="s">
        <v>153</v>
      </c>
      <c r="D143" s="31" t="s">
        <v>148</v>
      </c>
      <c r="E143" s="30">
        <v>44378</v>
      </c>
      <c r="F143" s="29">
        <v>44394</v>
      </c>
    </row>
    <row r="144" spans="2:6" ht="14.25" customHeight="1">
      <c r="B144" s="29">
        <v>1574</v>
      </c>
      <c r="C144" s="31" t="s">
        <v>153</v>
      </c>
      <c r="D144" s="31" t="s">
        <v>151</v>
      </c>
      <c r="E144" s="30">
        <v>44440</v>
      </c>
      <c r="F144" s="29">
        <v>217075</v>
      </c>
    </row>
    <row r="145" spans="2:6" ht="14.25" customHeight="1">
      <c r="B145" s="29">
        <v>1583</v>
      </c>
      <c r="C145" s="31" t="s">
        <v>153</v>
      </c>
      <c r="D145" s="31" t="s">
        <v>144</v>
      </c>
      <c r="E145" s="30">
        <v>44228</v>
      </c>
      <c r="F145" s="29">
        <v>56810</v>
      </c>
    </row>
    <row r="146" spans="2:6" ht="14.25" customHeight="1">
      <c r="B146" s="29">
        <v>1590</v>
      </c>
      <c r="C146" s="31" t="s">
        <v>153</v>
      </c>
      <c r="D146" s="31" t="s">
        <v>151</v>
      </c>
      <c r="E146" s="30">
        <v>44470</v>
      </c>
      <c r="F146" s="29">
        <v>169915</v>
      </c>
    </row>
    <row r="147" spans="2:6" ht="14.25" customHeight="1">
      <c r="B147" s="29">
        <v>1615</v>
      </c>
      <c r="C147" s="31" t="s">
        <v>153</v>
      </c>
      <c r="D147" s="31" t="s">
        <v>152</v>
      </c>
      <c r="E147" s="30">
        <v>44409</v>
      </c>
      <c r="F147" s="29">
        <v>217962</v>
      </c>
    </row>
    <row r="148" spans="2:6" ht="14.25" customHeight="1">
      <c r="B148" s="29">
        <v>1624</v>
      </c>
      <c r="C148" s="31" t="s">
        <v>153</v>
      </c>
      <c r="D148" s="31" t="s">
        <v>152</v>
      </c>
      <c r="E148" s="30">
        <v>44317</v>
      </c>
      <c r="F148" s="29">
        <v>166824</v>
      </c>
    </row>
    <row r="149" spans="2:6" ht="14.25" customHeight="1">
      <c r="B149" s="29">
        <v>1636</v>
      </c>
      <c r="C149" s="31" t="s">
        <v>153</v>
      </c>
      <c r="D149" s="31" t="s">
        <v>148</v>
      </c>
      <c r="E149" s="30">
        <v>44287</v>
      </c>
      <c r="F149" s="29">
        <v>35096</v>
      </c>
    </row>
    <row r="150" spans="2:6" ht="14.25" customHeight="1">
      <c r="B150" s="29">
        <v>1653</v>
      </c>
      <c r="C150" s="31" t="s">
        <v>153</v>
      </c>
      <c r="D150" s="31" t="s">
        <v>152</v>
      </c>
      <c r="E150" s="30">
        <v>44378</v>
      </c>
      <c r="F150" s="29">
        <v>64755</v>
      </c>
    </row>
    <row r="151" spans="2:6" ht="14.25" customHeight="1">
      <c r="B151" s="29">
        <v>1667</v>
      </c>
      <c r="C151" s="31" t="s">
        <v>153</v>
      </c>
      <c r="D151" s="31" t="s">
        <v>144</v>
      </c>
      <c r="E151" s="30">
        <v>44317</v>
      </c>
      <c r="F151" s="29">
        <v>8950</v>
      </c>
    </row>
    <row r="152" spans="2:6" ht="14.25" customHeight="1">
      <c r="B152" s="29">
        <v>1668</v>
      </c>
      <c r="C152" s="31" t="s">
        <v>153</v>
      </c>
      <c r="D152" s="31" t="s">
        <v>144</v>
      </c>
      <c r="E152" s="30">
        <v>44197</v>
      </c>
      <c r="F152" s="29">
        <v>210209</v>
      </c>
    </row>
    <row r="153" spans="2:6" ht="14.25" customHeight="1">
      <c r="B153" s="29">
        <v>1674</v>
      </c>
      <c r="C153" s="31" t="s">
        <v>153</v>
      </c>
      <c r="D153" s="31" t="s">
        <v>151</v>
      </c>
      <c r="E153" s="30">
        <v>44409</v>
      </c>
      <c r="F153" s="29">
        <v>191733</v>
      </c>
    </row>
    <row r="154" spans="2:6" ht="14.25" customHeight="1">
      <c r="B154" s="29">
        <v>1675</v>
      </c>
      <c r="C154" s="31" t="s">
        <v>153</v>
      </c>
      <c r="D154" s="31" t="s">
        <v>152</v>
      </c>
      <c r="E154" s="30">
        <v>44287</v>
      </c>
      <c r="F154" s="29">
        <v>137705</v>
      </c>
    </row>
    <row r="155" spans="2:6" ht="14.25" customHeight="1">
      <c r="B155" s="29">
        <v>1683</v>
      </c>
      <c r="C155" s="31" t="s">
        <v>153</v>
      </c>
      <c r="D155" s="31" t="s">
        <v>146</v>
      </c>
      <c r="E155" s="30">
        <v>44440</v>
      </c>
      <c r="F155" s="29">
        <v>242971</v>
      </c>
    </row>
    <row r="156" spans="2:6" ht="14.25" customHeight="1">
      <c r="B156" s="29">
        <v>1686</v>
      </c>
      <c r="C156" s="31" t="s">
        <v>153</v>
      </c>
      <c r="D156" s="31" t="s">
        <v>148</v>
      </c>
      <c r="E156" s="30">
        <v>44378</v>
      </c>
      <c r="F156" s="29">
        <v>173616</v>
      </c>
    </row>
    <row r="157" spans="2:6" ht="14.25" customHeight="1">
      <c r="B157" s="29">
        <v>1688</v>
      </c>
      <c r="C157" s="31" t="s">
        <v>153</v>
      </c>
      <c r="D157" s="31" t="s">
        <v>144</v>
      </c>
      <c r="E157" s="30">
        <v>44228</v>
      </c>
      <c r="F157" s="29">
        <v>168122</v>
      </c>
    </row>
    <row r="158" spans="2:6" ht="14.25" customHeight="1">
      <c r="B158" s="29">
        <v>1691</v>
      </c>
      <c r="C158" s="31" t="s">
        <v>153</v>
      </c>
      <c r="D158" s="31" t="s">
        <v>144</v>
      </c>
      <c r="E158" s="30">
        <v>44531</v>
      </c>
      <c r="F158" s="29">
        <v>151084</v>
      </c>
    </row>
    <row r="159" spans="2:6" ht="14.25" customHeight="1">
      <c r="B159" s="29">
        <v>1706</v>
      </c>
      <c r="C159" s="31" t="s">
        <v>150</v>
      </c>
      <c r="D159" s="31" t="s">
        <v>144</v>
      </c>
      <c r="E159" s="30">
        <v>44287</v>
      </c>
      <c r="F159" s="29">
        <v>247904</v>
      </c>
    </row>
    <row r="160" spans="2:6" ht="14.25" customHeight="1">
      <c r="B160" s="29">
        <v>1709</v>
      </c>
      <c r="C160" s="31" t="s">
        <v>147</v>
      </c>
      <c r="D160" s="31" t="s">
        <v>151</v>
      </c>
      <c r="E160" s="30">
        <v>44228</v>
      </c>
      <c r="F160" s="29">
        <v>33876</v>
      </c>
    </row>
    <row r="161" spans="2:6" ht="14.25" customHeight="1">
      <c r="B161" s="29">
        <v>1719</v>
      </c>
      <c r="C161" s="31" t="s">
        <v>149</v>
      </c>
      <c r="D161" s="31" t="s">
        <v>148</v>
      </c>
      <c r="E161" s="30">
        <v>44348</v>
      </c>
      <c r="F161" s="29">
        <v>95791</v>
      </c>
    </row>
    <row r="162" spans="2:6" ht="14.25" customHeight="1">
      <c r="B162" s="29">
        <v>1722</v>
      </c>
      <c r="C162" s="31" t="s">
        <v>150</v>
      </c>
      <c r="D162" s="31" t="s">
        <v>146</v>
      </c>
      <c r="E162" s="30">
        <v>44287</v>
      </c>
      <c r="F162" s="29">
        <v>201120</v>
      </c>
    </row>
    <row r="163" spans="2:6" ht="14.25" customHeight="1">
      <c r="B163" s="29">
        <v>1727</v>
      </c>
      <c r="C163" s="31" t="s">
        <v>150</v>
      </c>
      <c r="D163" s="31" t="s">
        <v>152</v>
      </c>
      <c r="E163" s="30">
        <v>44287</v>
      </c>
      <c r="F163" s="29">
        <v>196137</v>
      </c>
    </row>
    <row r="164" spans="2:6" ht="14.25" customHeight="1">
      <c r="B164" s="29">
        <v>1743</v>
      </c>
      <c r="C164" s="31" t="s">
        <v>150</v>
      </c>
      <c r="D164" s="31" t="s">
        <v>146</v>
      </c>
      <c r="E164" s="30">
        <v>44197</v>
      </c>
      <c r="F164" s="29">
        <v>6345</v>
      </c>
    </row>
    <row r="165" spans="2:6" ht="14.25" customHeight="1">
      <c r="B165" s="29">
        <v>1746</v>
      </c>
      <c r="C165" s="31" t="s">
        <v>150</v>
      </c>
      <c r="D165" s="31" t="s">
        <v>152</v>
      </c>
      <c r="E165" s="30">
        <v>44197</v>
      </c>
      <c r="F165" s="29">
        <v>60394</v>
      </c>
    </row>
    <row r="166" spans="2:6" ht="14.25" customHeight="1">
      <c r="B166" s="29">
        <v>1774</v>
      </c>
      <c r="C166" s="31" t="s">
        <v>149</v>
      </c>
      <c r="D166" s="31" t="s">
        <v>144</v>
      </c>
      <c r="E166" s="30">
        <v>44197</v>
      </c>
      <c r="F166" s="29">
        <v>208053</v>
      </c>
    </row>
    <row r="167" spans="2:6" ht="14.25" customHeight="1">
      <c r="B167" s="29">
        <v>1776</v>
      </c>
      <c r="C167" s="31" t="s">
        <v>149</v>
      </c>
      <c r="D167" s="31" t="s">
        <v>151</v>
      </c>
      <c r="E167" s="30">
        <v>44287</v>
      </c>
      <c r="F167" s="29">
        <v>216555</v>
      </c>
    </row>
    <row r="168" spans="2:6" ht="14.25" customHeight="1">
      <c r="B168" s="29">
        <v>1782</v>
      </c>
      <c r="C168" s="31" t="s">
        <v>150</v>
      </c>
      <c r="D168" s="31" t="s">
        <v>146</v>
      </c>
      <c r="E168" s="30">
        <v>44256</v>
      </c>
      <c r="F168" s="29">
        <v>30219</v>
      </c>
    </row>
    <row r="169" spans="2:6" ht="14.25" customHeight="1">
      <c r="B169" s="29">
        <v>1783</v>
      </c>
      <c r="C169" s="31" t="s">
        <v>150</v>
      </c>
      <c r="D169" s="31" t="s">
        <v>148</v>
      </c>
      <c r="E169" s="30">
        <v>44531</v>
      </c>
      <c r="F169" s="29">
        <v>112636</v>
      </c>
    </row>
    <row r="170" spans="2:6" ht="14.25" customHeight="1">
      <c r="B170" s="29">
        <v>1788</v>
      </c>
      <c r="C170" s="31" t="s">
        <v>150</v>
      </c>
      <c r="D170" s="31" t="s">
        <v>151</v>
      </c>
      <c r="E170" s="30">
        <v>44317</v>
      </c>
      <c r="F170" s="29">
        <v>232025</v>
      </c>
    </row>
    <row r="171" spans="2:6" ht="14.25" customHeight="1">
      <c r="B171" s="29">
        <v>1809</v>
      </c>
      <c r="C171" s="31" t="s">
        <v>145</v>
      </c>
      <c r="D171" s="31" t="s">
        <v>152</v>
      </c>
      <c r="E171" s="30">
        <v>44378</v>
      </c>
      <c r="F171" s="29">
        <v>23560</v>
      </c>
    </row>
    <row r="172" spans="2:6" ht="14.25" customHeight="1">
      <c r="B172" s="29">
        <v>1823</v>
      </c>
      <c r="C172" s="31" t="s">
        <v>150</v>
      </c>
      <c r="D172" s="31" t="s">
        <v>148</v>
      </c>
      <c r="E172" s="30">
        <v>44317</v>
      </c>
      <c r="F172" s="29">
        <v>223042</v>
      </c>
    </row>
    <row r="173" spans="2:6" ht="14.25" customHeight="1">
      <c r="B173" s="29">
        <v>1829</v>
      </c>
      <c r="C173" s="31" t="s">
        <v>147</v>
      </c>
      <c r="D173" s="31" t="s">
        <v>148</v>
      </c>
      <c r="E173" s="30">
        <v>44378</v>
      </c>
      <c r="F173" s="29">
        <v>185869</v>
      </c>
    </row>
    <row r="174" spans="2:6" ht="14.25" customHeight="1">
      <c r="B174" s="29">
        <v>1833</v>
      </c>
      <c r="C174" s="31" t="s">
        <v>147</v>
      </c>
      <c r="D174" s="31" t="s">
        <v>148</v>
      </c>
      <c r="E174" s="30">
        <v>44287</v>
      </c>
      <c r="F174" s="29">
        <v>73394</v>
      </c>
    </row>
    <row r="175" spans="2:6" ht="14.25" customHeight="1">
      <c r="B175" s="29">
        <v>1839</v>
      </c>
      <c r="C175" s="31" t="s">
        <v>149</v>
      </c>
      <c r="D175" s="31" t="s">
        <v>148</v>
      </c>
      <c r="E175" s="30">
        <v>44348</v>
      </c>
      <c r="F175" s="29">
        <v>254580</v>
      </c>
    </row>
    <row r="176" spans="2:6" ht="14.25" customHeight="1">
      <c r="B176" s="29">
        <v>1848</v>
      </c>
      <c r="C176" s="31" t="s">
        <v>147</v>
      </c>
      <c r="D176" s="31" t="s">
        <v>146</v>
      </c>
      <c r="E176" s="30">
        <v>44470</v>
      </c>
      <c r="F176" s="29">
        <v>175018</v>
      </c>
    </row>
    <row r="177" spans="2:6" ht="14.25" customHeight="1">
      <c r="B177" s="29">
        <v>1868</v>
      </c>
      <c r="C177" s="31" t="s">
        <v>147</v>
      </c>
      <c r="D177" s="31" t="s">
        <v>146</v>
      </c>
      <c r="E177" s="30">
        <v>44197</v>
      </c>
      <c r="F177" s="29">
        <v>248756</v>
      </c>
    </row>
    <row r="178" spans="2:6" ht="14.25" customHeight="1">
      <c r="B178" s="29">
        <v>1903</v>
      </c>
      <c r="C178" s="31" t="s">
        <v>149</v>
      </c>
      <c r="D178" s="31" t="s">
        <v>152</v>
      </c>
      <c r="E178" s="30">
        <v>44531</v>
      </c>
      <c r="F178" s="29">
        <v>22305</v>
      </c>
    </row>
    <row r="179" spans="2:6" ht="14.25" customHeight="1">
      <c r="B179" s="29">
        <v>1912</v>
      </c>
      <c r="C179" s="31" t="s">
        <v>149</v>
      </c>
      <c r="D179" s="31" t="s">
        <v>151</v>
      </c>
      <c r="E179" s="30">
        <v>44228</v>
      </c>
      <c r="F179" s="29">
        <v>5187</v>
      </c>
    </row>
    <row r="180" spans="2:6" ht="14.25" customHeight="1">
      <c r="B180" s="29">
        <v>1964</v>
      </c>
      <c r="C180" s="31" t="s">
        <v>147</v>
      </c>
      <c r="D180" s="31" t="s">
        <v>152</v>
      </c>
      <c r="E180" s="30">
        <v>44197</v>
      </c>
      <c r="F180" s="29">
        <v>100486</v>
      </c>
    </row>
    <row r="181" spans="2:6" ht="14.25" customHeight="1">
      <c r="B181" s="29">
        <v>1975</v>
      </c>
      <c r="C181" s="31" t="s">
        <v>149</v>
      </c>
      <c r="D181" s="31" t="s">
        <v>148</v>
      </c>
      <c r="E181" s="30">
        <v>44287</v>
      </c>
      <c r="F181" s="29">
        <v>259</v>
      </c>
    </row>
    <row r="182" spans="2:6" ht="14.25" customHeight="1">
      <c r="B182" s="29">
        <v>1989</v>
      </c>
      <c r="C182" s="31" t="s">
        <v>150</v>
      </c>
      <c r="D182" s="31" t="s">
        <v>144</v>
      </c>
      <c r="E182" s="30">
        <v>44287</v>
      </c>
      <c r="F182" s="29">
        <v>61230</v>
      </c>
    </row>
    <row r="183" spans="2:6" ht="14.25" customHeight="1">
      <c r="B183" s="29">
        <v>2000</v>
      </c>
      <c r="C183" s="31" t="s">
        <v>149</v>
      </c>
      <c r="D183" s="31" t="s">
        <v>144</v>
      </c>
      <c r="E183" s="30">
        <v>44256</v>
      </c>
      <c r="F183" s="29">
        <v>29435</v>
      </c>
    </row>
    <row r="184" spans="2:6" ht="14.25" customHeight="1">
      <c r="B184" s="29">
        <v>2001</v>
      </c>
      <c r="C184" s="31" t="s">
        <v>150</v>
      </c>
      <c r="D184" s="31" t="s">
        <v>144</v>
      </c>
      <c r="E184" s="30">
        <v>44228</v>
      </c>
      <c r="F184" s="29">
        <v>74022</v>
      </c>
    </row>
    <row r="185" spans="2:6" ht="14.25" customHeight="1">
      <c r="B185" s="29">
        <v>2009</v>
      </c>
      <c r="C185" s="31" t="s">
        <v>145</v>
      </c>
      <c r="D185" s="31" t="s">
        <v>144</v>
      </c>
      <c r="E185" s="30">
        <v>44317</v>
      </c>
      <c r="F185" s="29">
        <v>124153</v>
      </c>
    </row>
    <row r="186" spans="2:6" ht="14.25" customHeight="1">
      <c r="B186" s="29">
        <v>2033</v>
      </c>
      <c r="C186" s="31" t="s">
        <v>149</v>
      </c>
      <c r="D186" s="31" t="s">
        <v>152</v>
      </c>
      <c r="E186" s="30">
        <v>44470</v>
      </c>
      <c r="F186" s="29">
        <v>225220</v>
      </c>
    </row>
    <row r="187" spans="2:6" ht="14.25" customHeight="1">
      <c r="B187" s="29">
        <v>2044</v>
      </c>
      <c r="C187" s="31" t="s">
        <v>145</v>
      </c>
      <c r="D187" s="31" t="s">
        <v>148</v>
      </c>
      <c r="E187" s="30">
        <v>44317</v>
      </c>
      <c r="F187" s="29">
        <v>164464</v>
      </c>
    </row>
    <row r="188" spans="2:6" ht="14.25" customHeight="1">
      <c r="B188" s="29">
        <v>2099</v>
      </c>
      <c r="C188" s="31" t="s">
        <v>149</v>
      </c>
      <c r="D188" s="31" t="s">
        <v>144</v>
      </c>
      <c r="E188" s="30">
        <v>44287</v>
      </c>
      <c r="F188" s="29">
        <v>145328</v>
      </c>
    </row>
    <row r="189" spans="2:6" ht="14.25" customHeight="1">
      <c r="B189" s="29">
        <v>2100</v>
      </c>
      <c r="C189" s="31" t="s">
        <v>150</v>
      </c>
      <c r="D189" s="31" t="s">
        <v>146</v>
      </c>
      <c r="E189" s="30">
        <v>44287</v>
      </c>
      <c r="F189" s="29">
        <v>189847</v>
      </c>
    </row>
    <row r="190" spans="2:6" ht="14.25" customHeight="1">
      <c r="B190" s="29">
        <v>2136</v>
      </c>
      <c r="C190" s="31" t="s">
        <v>153</v>
      </c>
      <c r="D190" s="31" t="s">
        <v>152</v>
      </c>
      <c r="E190" s="30">
        <v>44317</v>
      </c>
      <c r="F190" s="29">
        <v>240648</v>
      </c>
    </row>
    <row r="191" spans="2:6" ht="14.25" customHeight="1">
      <c r="B191" s="29">
        <v>2176</v>
      </c>
      <c r="C191" s="31" t="s">
        <v>153</v>
      </c>
      <c r="D191" s="31" t="s">
        <v>151</v>
      </c>
      <c r="E191" s="30">
        <v>44287</v>
      </c>
      <c r="F191" s="29">
        <v>73163</v>
      </c>
    </row>
    <row r="192" spans="2:6" ht="14.25" customHeight="1">
      <c r="B192" s="29">
        <v>2184</v>
      </c>
      <c r="C192" s="31" t="s">
        <v>153</v>
      </c>
      <c r="D192" s="31" t="s">
        <v>146</v>
      </c>
      <c r="E192" s="30">
        <v>44409</v>
      </c>
      <c r="F192" s="29">
        <v>67090</v>
      </c>
    </row>
    <row r="193" spans="2:6" ht="14.25" customHeight="1">
      <c r="B193" s="29">
        <v>2187</v>
      </c>
      <c r="C193" s="31" t="s">
        <v>153</v>
      </c>
      <c r="D193" s="31" t="s">
        <v>146</v>
      </c>
      <c r="E193" s="30">
        <v>44440</v>
      </c>
      <c r="F193" s="29">
        <v>13179</v>
      </c>
    </row>
    <row r="194" spans="2:6" ht="14.25" customHeight="1">
      <c r="B194" s="29">
        <v>2207</v>
      </c>
      <c r="C194" s="31" t="s">
        <v>153</v>
      </c>
      <c r="D194" s="31" t="s">
        <v>148</v>
      </c>
      <c r="E194" s="30">
        <v>44228</v>
      </c>
      <c r="F194" s="29">
        <v>210276</v>
      </c>
    </row>
    <row r="195" spans="2:6" ht="14.25" customHeight="1">
      <c r="B195" s="29">
        <v>2214</v>
      </c>
      <c r="C195" s="31" t="s">
        <v>153</v>
      </c>
      <c r="D195" s="31" t="s">
        <v>148</v>
      </c>
      <c r="E195" s="30">
        <v>44228</v>
      </c>
      <c r="F195" s="29">
        <v>86142</v>
      </c>
    </row>
    <row r="196" spans="2:6" ht="14.25" customHeight="1">
      <c r="B196" s="29">
        <v>2239</v>
      </c>
      <c r="C196" s="31" t="s">
        <v>153</v>
      </c>
      <c r="D196" s="31" t="s">
        <v>151</v>
      </c>
      <c r="E196" s="30">
        <v>44287</v>
      </c>
      <c r="F196" s="29">
        <v>203878</v>
      </c>
    </row>
    <row r="197" spans="2:6" ht="14.25" customHeight="1">
      <c r="B197" s="29">
        <v>2245</v>
      </c>
      <c r="C197" s="31" t="s">
        <v>153</v>
      </c>
      <c r="D197" s="31" t="s">
        <v>144</v>
      </c>
      <c r="E197" s="30">
        <v>44378</v>
      </c>
      <c r="F197" s="29">
        <v>86843</v>
      </c>
    </row>
    <row r="198" spans="2:6" ht="14.25" customHeight="1">
      <c r="B198" s="29">
        <v>2259</v>
      </c>
      <c r="C198" s="31" t="s">
        <v>153</v>
      </c>
      <c r="D198" s="31" t="s">
        <v>144</v>
      </c>
      <c r="E198" s="30">
        <v>44531</v>
      </c>
      <c r="F198" s="29">
        <v>-21877</v>
      </c>
    </row>
    <row r="199" spans="2:6" ht="14.25" customHeight="1">
      <c r="B199" s="29">
        <v>2301</v>
      </c>
      <c r="C199" s="31" t="s">
        <v>153</v>
      </c>
      <c r="D199" s="31" t="s">
        <v>144</v>
      </c>
      <c r="E199" s="30">
        <v>44197</v>
      </c>
      <c r="F199" s="29">
        <v>95623</v>
      </c>
    </row>
    <row r="200" spans="2:6" ht="14.25" customHeight="1">
      <c r="B200" s="29">
        <v>2318</v>
      </c>
      <c r="C200" s="31" t="s">
        <v>153</v>
      </c>
      <c r="D200" s="31" t="s">
        <v>146</v>
      </c>
      <c r="E200" s="30">
        <v>44531</v>
      </c>
      <c r="F200" s="29">
        <v>244284</v>
      </c>
    </row>
    <row r="201" spans="2:6" ht="14.25" customHeight="1">
      <c r="B201" s="29">
        <v>2333</v>
      </c>
      <c r="C201" s="31" t="s">
        <v>153</v>
      </c>
      <c r="D201" s="31" t="s">
        <v>146</v>
      </c>
      <c r="E201" s="30">
        <v>44378</v>
      </c>
      <c r="F201" s="29">
        <v>103592</v>
      </c>
    </row>
    <row r="202" spans="2:6" ht="14.25" customHeight="1">
      <c r="B202" s="29">
        <v>2352</v>
      </c>
      <c r="C202" s="31" t="s">
        <v>153</v>
      </c>
      <c r="D202" s="31" t="s">
        <v>152</v>
      </c>
      <c r="E202" s="30">
        <v>44348</v>
      </c>
      <c r="F202" s="29">
        <v>17150</v>
      </c>
    </row>
    <row r="203" spans="2:6" ht="14.25" customHeight="1">
      <c r="B203" s="29">
        <v>2369</v>
      </c>
      <c r="C203" s="31" t="s">
        <v>153</v>
      </c>
      <c r="D203" s="31" t="s">
        <v>151</v>
      </c>
      <c r="E203" s="30">
        <v>44378</v>
      </c>
      <c r="F203" s="29">
        <v>138473</v>
      </c>
    </row>
    <row r="204" spans="2:6" ht="14.25" customHeight="1">
      <c r="B204" s="29">
        <v>2376</v>
      </c>
      <c r="C204" s="31" t="s">
        <v>153</v>
      </c>
      <c r="D204" s="31" t="s">
        <v>146</v>
      </c>
      <c r="E204" s="30">
        <v>44287</v>
      </c>
      <c r="F204" s="29">
        <v>81846</v>
      </c>
    </row>
    <row r="205" spans="2:6" ht="14.25" customHeight="1">
      <c r="B205" s="29">
        <v>2390</v>
      </c>
      <c r="C205" s="31" t="s">
        <v>153</v>
      </c>
      <c r="D205" s="31" t="s">
        <v>146</v>
      </c>
      <c r="E205" s="30">
        <v>44409</v>
      </c>
      <c r="F205" s="29">
        <v>10877</v>
      </c>
    </row>
    <row r="206" spans="2:6" ht="14.25" customHeight="1">
      <c r="B206" s="29">
        <v>2407</v>
      </c>
      <c r="C206" s="31" t="s">
        <v>149</v>
      </c>
      <c r="D206" s="31" t="s">
        <v>151</v>
      </c>
      <c r="E206" s="30">
        <v>44409</v>
      </c>
      <c r="F206" s="29">
        <v>155980</v>
      </c>
    </row>
    <row r="207" spans="2:6" ht="14.25" customHeight="1">
      <c r="B207" s="29">
        <v>2423</v>
      </c>
      <c r="C207" s="31" t="s">
        <v>145</v>
      </c>
      <c r="D207" s="31" t="s">
        <v>144</v>
      </c>
      <c r="E207" s="30">
        <v>44409</v>
      </c>
      <c r="F207" s="29">
        <v>23010</v>
      </c>
    </row>
    <row r="208" spans="2:6" ht="14.25" customHeight="1">
      <c r="B208" s="29">
        <v>2439</v>
      </c>
      <c r="C208" s="31" t="s">
        <v>145</v>
      </c>
      <c r="D208" s="31" t="s">
        <v>148</v>
      </c>
      <c r="E208" s="30">
        <v>44531</v>
      </c>
      <c r="F208" s="29">
        <v>71529</v>
      </c>
    </row>
    <row r="209" spans="2:6" ht="14.25" customHeight="1">
      <c r="B209" s="29">
        <v>2441</v>
      </c>
      <c r="C209" s="31" t="s">
        <v>147</v>
      </c>
      <c r="D209" s="31" t="s">
        <v>151</v>
      </c>
      <c r="E209" s="30">
        <v>44470</v>
      </c>
      <c r="F209" s="29">
        <v>39494</v>
      </c>
    </row>
    <row r="210" spans="2:6" ht="14.25" customHeight="1">
      <c r="B210" s="29">
        <v>2455</v>
      </c>
      <c r="C210" s="31" t="s">
        <v>145</v>
      </c>
      <c r="D210" s="31" t="s">
        <v>151</v>
      </c>
      <c r="E210" s="30">
        <v>44228</v>
      </c>
      <c r="F210" s="29">
        <v>157993</v>
      </c>
    </row>
    <row r="211" spans="2:6" ht="14.25" customHeight="1">
      <c r="B211" s="29">
        <v>2458</v>
      </c>
      <c r="C211" s="31" t="s">
        <v>147</v>
      </c>
      <c r="D211" s="31" t="s">
        <v>144</v>
      </c>
      <c r="E211" s="30">
        <v>44378</v>
      </c>
      <c r="F211" s="29">
        <v>121986</v>
      </c>
    </row>
    <row r="212" spans="2:6" ht="14.25" customHeight="1">
      <c r="B212" s="29">
        <v>2466</v>
      </c>
      <c r="C212" s="31" t="s">
        <v>150</v>
      </c>
      <c r="D212" s="31" t="s">
        <v>148</v>
      </c>
      <c r="E212" s="30">
        <v>44440</v>
      </c>
      <c r="F212" s="29">
        <v>258051</v>
      </c>
    </row>
    <row r="213" spans="2:6" ht="14.25" customHeight="1">
      <c r="B213" s="29">
        <v>2474</v>
      </c>
      <c r="C213" s="31" t="s">
        <v>149</v>
      </c>
      <c r="D213" s="31" t="s">
        <v>144</v>
      </c>
      <c r="E213" s="30">
        <v>44197</v>
      </c>
      <c r="F213" s="29">
        <v>6460</v>
      </c>
    </row>
    <row r="214" spans="2:6" ht="14.25" customHeight="1">
      <c r="B214" s="29">
        <v>2475</v>
      </c>
      <c r="C214" s="31" t="s">
        <v>150</v>
      </c>
      <c r="D214" s="31" t="s">
        <v>144</v>
      </c>
      <c r="E214" s="30">
        <v>44256</v>
      </c>
      <c r="F214" s="29">
        <v>114470</v>
      </c>
    </row>
    <row r="215" spans="2:6" ht="14.25" customHeight="1">
      <c r="B215" s="29">
        <v>2478</v>
      </c>
      <c r="C215" s="31" t="s">
        <v>149</v>
      </c>
      <c r="D215" s="31" t="s">
        <v>152</v>
      </c>
      <c r="E215" s="30">
        <v>44228</v>
      </c>
      <c r="F215" s="29">
        <v>8721</v>
      </c>
    </row>
    <row r="216" spans="2:6" ht="14.25" customHeight="1">
      <c r="B216" s="29">
        <v>2479</v>
      </c>
      <c r="C216" s="31" t="s">
        <v>147</v>
      </c>
      <c r="D216" s="31" t="s">
        <v>144</v>
      </c>
      <c r="E216" s="30">
        <v>44440</v>
      </c>
      <c r="F216" s="29">
        <v>160752</v>
      </c>
    </row>
    <row r="217" spans="2:6" ht="14.25" customHeight="1">
      <c r="B217" s="29">
        <v>2480</v>
      </c>
      <c r="C217" s="31" t="s">
        <v>147</v>
      </c>
      <c r="D217" s="31" t="s">
        <v>144</v>
      </c>
      <c r="E217" s="30">
        <v>44531</v>
      </c>
      <c r="F217" s="29">
        <v>1365</v>
      </c>
    </row>
    <row r="218" spans="2:6" ht="14.25" customHeight="1">
      <c r="B218" s="29">
        <v>2486</v>
      </c>
      <c r="C218" s="31" t="s">
        <v>149</v>
      </c>
      <c r="D218" s="31" t="s">
        <v>146</v>
      </c>
      <c r="E218" s="30">
        <v>44531</v>
      </c>
      <c r="F218" s="29">
        <v>54633</v>
      </c>
    </row>
    <row r="219" spans="2:6" ht="14.25" customHeight="1">
      <c r="B219" s="29">
        <v>2495</v>
      </c>
      <c r="C219" s="31" t="s">
        <v>147</v>
      </c>
      <c r="D219" s="31" t="s">
        <v>151</v>
      </c>
      <c r="E219" s="30">
        <v>44348</v>
      </c>
      <c r="F219" s="29">
        <v>130437</v>
      </c>
    </row>
    <row r="220" spans="2:6" ht="14.25" customHeight="1">
      <c r="B220" s="29">
        <v>2511</v>
      </c>
      <c r="C220" s="31" t="s">
        <v>149</v>
      </c>
      <c r="D220" s="31" t="s">
        <v>144</v>
      </c>
      <c r="E220" s="30">
        <v>44317</v>
      </c>
      <c r="F220" s="29">
        <v>53266</v>
      </c>
    </row>
    <row r="221" spans="2:6" ht="14.25" customHeight="1">
      <c r="B221" s="29">
        <v>2537</v>
      </c>
      <c r="C221" s="31" t="s">
        <v>147</v>
      </c>
      <c r="D221" s="31" t="s">
        <v>146</v>
      </c>
      <c r="E221" s="30">
        <v>44409</v>
      </c>
      <c r="F221" s="29">
        <v>110965</v>
      </c>
    </row>
    <row r="222" spans="2:6" ht="14.25" customHeight="1">
      <c r="B222" s="29">
        <v>2539</v>
      </c>
      <c r="C222" s="31" t="s">
        <v>149</v>
      </c>
      <c r="D222" s="31" t="s">
        <v>148</v>
      </c>
      <c r="E222" s="30">
        <v>44348</v>
      </c>
      <c r="F222" s="29">
        <v>159478</v>
      </c>
    </row>
    <row r="223" spans="2:6" ht="14.25" customHeight="1">
      <c r="B223" s="29">
        <v>2549</v>
      </c>
      <c r="C223" s="31" t="s">
        <v>147</v>
      </c>
      <c r="D223" s="31" t="s">
        <v>151</v>
      </c>
      <c r="E223" s="30">
        <v>44348</v>
      </c>
      <c r="F223" s="29">
        <v>96983</v>
      </c>
    </row>
    <row r="224" spans="2:6" ht="14.25" customHeight="1">
      <c r="B224" s="29">
        <v>2561</v>
      </c>
      <c r="C224" s="31" t="s">
        <v>149</v>
      </c>
      <c r="D224" s="31" t="s">
        <v>151</v>
      </c>
      <c r="E224" s="30">
        <v>44228</v>
      </c>
      <c r="F224" s="29">
        <v>15238</v>
      </c>
    </row>
    <row r="225" spans="2:6" ht="14.25" customHeight="1">
      <c r="B225" s="29">
        <v>2577</v>
      </c>
      <c r="C225" s="31" t="s">
        <v>150</v>
      </c>
      <c r="D225" s="31" t="s">
        <v>148</v>
      </c>
      <c r="E225" s="30">
        <v>44287</v>
      </c>
      <c r="F225" s="29">
        <v>89649</v>
      </c>
    </row>
    <row r="226" spans="2:6" ht="14.25" customHeight="1">
      <c r="B226" s="29">
        <v>2580</v>
      </c>
      <c r="C226" s="31" t="s">
        <v>145</v>
      </c>
      <c r="D226" s="31" t="s">
        <v>148</v>
      </c>
      <c r="E226" s="30">
        <v>44287</v>
      </c>
      <c r="F226" s="29">
        <v>42319</v>
      </c>
    </row>
    <row r="227" spans="2:6" ht="14.25" customHeight="1">
      <c r="B227" s="29">
        <v>2601</v>
      </c>
      <c r="C227" s="31" t="s">
        <v>147</v>
      </c>
      <c r="D227" s="31" t="s">
        <v>148</v>
      </c>
      <c r="E227" s="30">
        <v>44317</v>
      </c>
      <c r="F227" s="29">
        <v>1519</v>
      </c>
    </row>
    <row r="228" spans="2:6" ht="14.25" customHeight="1">
      <c r="B228" s="29">
        <v>2619</v>
      </c>
      <c r="C228" s="31" t="s">
        <v>149</v>
      </c>
      <c r="D228" s="31" t="s">
        <v>151</v>
      </c>
      <c r="E228" s="30">
        <v>44409</v>
      </c>
      <c r="F228" s="29">
        <v>78549</v>
      </c>
    </row>
    <row r="229" spans="2:6" ht="14.25" customHeight="1">
      <c r="B229" s="29">
        <v>2621</v>
      </c>
      <c r="C229" s="31" t="s">
        <v>145</v>
      </c>
      <c r="D229" s="31" t="s">
        <v>151</v>
      </c>
      <c r="E229" s="30">
        <v>44317</v>
      </c>
      <c r="F229" s="29">
        <v>1696</v>
      </c>
    </row>
    <row r="230" spans="2:6" ht="14.25" customHeight="1">
      <c r="B230" s="29">
        <v>2642</v>
      </c>
      <c r="C230" s="31" t="s">
        <v>149</v>
      </c>
      <c r="D230" s="31" t="s">
        <v>152</v>
      </c>
      <c r="E230" s="30">
        <v>44228</v>
      </c>
      <c r="F230" s="29">
        <v>252387</v>
      </c>
    </row>
    <row r="231" spans="2:6" ht="14.25" customHeight="1">
      <c r="B231" s="29">
        <v>2654</v>
      </c>
      <c r="C231" s="31" t="s">
        <v>145</v>
      </c>
      <c r="D231" s="31" t="s">
        <v>151</v>
      </c>
      <c r="E231" s="30">
        <v>44228</v>
      </c>
      <c r="F231" s="29">
        <v>27849</v>
      </c>
    </row>
    <row r="232" spans="2:6" ht="14.25" customHeight="1">
      <c r="B232" s="29">
        <v>2655</v>
      </c>
      <c r="C232" s="31" t="s">
        <v>149</v>
      </c>
      <c r="D232" s="31" t="s">
        <v>152</v>
      </c>
      <c r="E232" s="30">
        <v>44287</v>
      </c>
      <c r="F232" s="29">
        <v>173334</v>
      </c>
    </row>
    <row r="233" spans="2:6" ht="14.25" customHeight="1">
      <c r="B233" s="29">
        <v>2657</v>
      </c>
      <c r="C233" s="31" t="s">
        <v>147</v>
      </c>
      <c r="D233" s="31" t="s">
        <v>146</v>
      </c>
      <c r="E233" s="30">
        <v>44287</v>
      </c>
      <c r="F233" s="29">
        <v>221658</v>
      </c>
    </row>
    <row r="234" spans="2:6" ht="14.25" customHeight="1">
      <c r="B234" s="29">
        <v>2670</v>
      </c>
      <c r="C234" s="31" t="s">
        <v>145</v>
      </c>
      <c r="D234" s="31" t="s">
        <v>148</v>
      </c>
      <c r="E234" s="30">
        <v>44531</v>
      </c>
      <c r="F234" s="29">
        <v>12709</v>
      </c>
    </row>
    <row r="235" spans="2:6" ht="14.25" customHeight="1">
      <c r="B235" s="29">
        <v>2705</v>
      </c>
      <c r="C235" s="31" t="s">
        <v>147</v>
      </c>
      <c r="D235" s="31" t="s">
        <v>144</v>
      </c>
      <c r="E235" s="30">
        <v>44256</v>
      </c>
      <c r="F235" s="29">
        <v>6845</v>
      </c>
    </row>
    <row r="236" spans="2:6" ht="14.25" customHeight="1">
      <c r="B236" s="29">
        <v>2715</v>
      </c>
      <c r="C236" s="31" t="s">
        <v>150</v>
      </c>
      <c r="D236" s="31" t="s">
        <v>148</v>
      </c>
      <c r="E236" s="30">
        <v>44501</v>
      </c>
      <c r="F236" s="29">
        <v>39271</v>
      </c>
    </row>
    <row r="237" spans="2:6" ht="14.25" customHeight="1">
      <c r="B237" s="29">
        <v>2716</v>
      </c>
      <c r="C237" s="31" t="s">
        <v>150</v>
      </c>
      <c r="D237" s="31" t="s">
        <v>151</v>
      </c>
      <c r="E237" s="30">
        <v>44440</v>
      </c>
      <c r="F237" s="29">
        <v>208038</v>
      </c>
    </row>
    <row r="238" spans="2:6" ht="14.25" customHeight="1">
      <c r="B238" s="29">
        <v>2735</v>
      </c>
      <c r="C238" s="31" t="s">
        <v>149</v>
      </c>
      <c r="D238" s="31" t="s">
        <v>151</v>
      </c>
      <c r="E238" s="30">
        <v>44378</v>
      </c>
      <c r="F238" s="29">
        <v>12894</v>
      </c>
    </row>
    <row r="239" spans="2:6" ht="14.25" customHeight="1">
      <c r="B239" s="29">
        <v>2739</v>
      </c>
      <c r="C239" s="31" t="s">
        <v>145</v>
      </c>
      <c r="D239" s="31" t="s">
        <v>148</v>
      </c>
      <c r="E239" s="30">
        <v>44470</v>
      </c>
      <c r="F239" s="29">
        <v>236531</v>
      </c>
    </row>
    <row r="240" spans="2:6" ht="14.25" customHeight="1">
      <c r="B240" s="29">
        <v>2742</v>
      </c>
      <c r="C240" s="31" t="s">
        <v>149</v>
      </c>
      <c r="D240" s="31" t="s">
        <v>148</v>
      </c>
      <c r="E240" s="30">
        <v>44470</v>
      </c>
      <c r="F240" s="29">
        <v>128249</v>
      </c>
    </row>
    <row r="241" spans="2:6" ht="14.25" customHeight="1">
      <c r="B241" s="29">
        <v>2744</v>
      </c>
      <c r="C241" s="31" t="s">
        <v>145</v>
      </c>
      <c r="D241" s="31" t="s">
        <v>148</v>
      </c>
      <c r="E241" s="30">
        <v>44531</v>
      </c>
      <c r="F241" s="29">
        <v>210352</v>
      </c>
    </row>
    <row r="242" spans="2:6" ht="14.25" customHeight="1">
      <c r="B242" s="29">
        <v>2749</v>
      </c>
      <c r="C242" s="31" t="s">
        <v>149</v>
      </c>
      <c r="D242" s="31" t="s">
        <v>144</v>
      </c>
      <c r="E242" s="30">
        <v>44256</v>
      </c>
      <c r="F242" s="29">
        <v>133951</v>
      </c>
    </row>
    <row r="243" spans="2:6" ht="14.25" customHeight="1">
      <c r="B243" s="29">
        <v>2754</v>
      </c>
      <c r="C243" s="31" t="s">
        <v>149</v>
      </c>
      <c r="D243" s="31" t="s">
        <v>148</v>
      </c>
      <c r="E243" s="30">
        <v>44256</v>
      </c>
      <c r="F243" s="29">
        <v>117440</v>
      </c>
    </row>
    <row r="244" spans="2:6" ht="14.25" customHeight="1">
      <c r="B244" s="29">
        <v>2778</v>
      </c>
      <c r="C244" s="31" t="s">
        <v>147</v>
      </c>
      <c r="D244" s="31" t="s">
        <v>152</v>
      </c>
      <c r="E244" s="30">
        <v>44440</v>
      </c>
      <c r="F244" s="29">
        <v>256402</v>
      </c>
    </row>
    <row r="245" spans="2:6" ht="14.25" customHeight="1">
      <c r="B245" s="29">
        <v>2811</v>
      </c>
      <c r="C245" s="31" t="s">
        <v>153</v>
      </c>
      <c r="D245" s="31" t="s">
        <v>148</v>
      </c>
      <c r="E245" s="30">
        <v>44197</v>
      </c>
      <c r="F245" s="29">
        <v>151301</v>
      </c>
    </row>
    <row r="246" spans="2:6" ht="14.25" customHeight="1">
      <c r="B246" s="29">
        <v>2816</v>
      </c>
      <c r="C246" s="31" t="s">
        <v>153</v>
      </c>
      <c r="D246" s="31" t="s">
        <v>144</v>
      </c>
      <c r="E246" s="30">
        <v>44501</v>
      </c>
      <c r="F246" s="29">
        <v>74813</v>
      </c>
    </row>
    <row r="247" spans="2:6" ht="14.25" customHeight="1">
      <c r="B247" s="29">
        <v>2821</v>
      </c>
      <c r="C247" s="31" t="s">
        <v>153</v>
      </c>
      <c r="D247" s="31" t="s">
        <v>144</v>
      </c>
      <c r="E247" s="30">
        <v>44197</v>
      </c>
      <c r="F247" s="29">
        <v>161532</v>
      </c>
    </row>
    <row r="248" spans="2:6" ht="14.25" customHeight="1">
      <c r="B248" s="29">
        <v>2839</v>
      </c>
      <c r="C248" s="31" t="s">
        <v>153</v>
      </c>
      <c r="D248" s="31" t="s">
        <v>152</v>
      </c>
      <c r="E248" s="30">
        <v>44501</v>
      </c>
      <c r="F248" s="29">
        <v>63494</v>
      </c>
    </row>
    <row r="249" spans="2:6" ht="14.25" customHeight="1">
      <c r="B249" s="29">
        <v>2847</v>
      </c>
      <c r="C249" s="31" t="s">
        <v>153</v>
      </c>
      <c r="D249" s="31" t="s">
        <v>151</v>
      </c>
      <c r="E249" s="30">
        <v>44501</v>
      </c>
      <c r="F249" s="29">
        <v>8463</v>
      </c>
    </row>
    <row r="250" spans="2:6" ht="14.25" customHeight="1">
      <c r="B250" s="29">
        <v>2852</v>
      </c>
      <c r="C250" s="31" t="s">
        <v>153</v>
      </c>
      <c r="D250" s="31" t="s">
        <v>151</v>
      </c>
      <c r="E250" s="30">
        <v>44531</v>
      </c>
      <c r="F250" s="29">
        <v>9630</v>
      </c>
    </row>
    <row r="251" spans="2:6" ht="14.25" customHeight="1">
      <c r="B251" s="29">
        <v>2862</v>
      </c>
      <c r="C251" s="31" t="s">
        <v>153</v>
      </c>
      <c r="D251" s="31" t="s">
        <v>146</v>
      </c>
      <c r="E251" s="30">
        <v>44470</v>
      </c>
      <c r="F251" s="29">
        <v>139432</v>
      </c>
    </row>
    <row r="252" spans="2:6" ht="14.25" customHeight="1">
      <c r="B252" s="29">
        <v>2881</v>
      </c>
      <c r="C252" s="31" t="s">
        <v>153</v>
      </c>
      <c r="D252" s="31" t="s">
        <v>146</v>
      </c>
      <c r="E252" s="30">
        <v>44440</v>
      </c>
      <c r="F252" s="29">
        <v>261354</v>
      </c>
    </row>
    <row r="253" spans="2:6" ht="14.25" customHeight="1">
      <c r="B253" s="29">
        <v>2896</v>
      </c>
      <c r="C253" s="31" t="s">
        <v>153</v>
      </c>
      <c r="D253" s="31" t="s">
        <v>148</v>
      </c>
      <c r="E253" s="30">
        <v>44378</v>
      </c>
      <c r="F253" s="29">
        <v>89802</v>
      </c>
    </row>
    <row r="254" spans="2:6" ht="14.25" customHeight="1">
      <c r="B254" s="29">
        <v>2897</v>
      </c>
      <c r="C254" s="31" t="s">
        <v>153</v>
      </c>
      <c r="D254" s="31" t="s">
        <v>148</v>
      </c>
      <c r="E254" s="30">
        <v>44409</v>
      </c>
      <c r="F254" s="29">
        <v>23250</v>
      </c>
    </row>
    <row r="255" spans="2:6" ht="14.25" customHeight="1">
      <c r="B255" s="29">
        <v>2899</v>
      </c>
      <c r="C255" s="31" t="s">
        <v>153</v>
      </c>
      <c r="D255" s="31" t="s">
        <v>146</v>
      </c>
      <c r="E255" s="30">
        <v>44501</v>
      </c>
      <c r="F255" s="29">
        <v>156072</v>
      </c>
    </row>
    <row r="256" spans="2:6" ht="14.25" customHeight="1">
      <c r="B256" s="29">
        <v>2910</v>
      </c>
      <c r="C256" s="31" t="s">
        <v>153</v>
      </c>
      <c r="D256" s="31" t="s">
        <v>146</v>
      </c>
      <c r="E256" s="30">
        <v>44378</v>
      </c>
      <c r="F256" s="29">
        <v>52513</v>
      </c>
    </row>
    <row r="257" spans="2:6" ht="14.25" customHeight="1">
      <c r="B257" s="29">
        <v>2913</v>
      </c>
      <c r="C257" s="31" t="s">
        <v>153</v>
      </c>
      <c r="D257" s="31" t="s">
        <v>146</v>
      </c>
      <c r="E257" s="30">
        <v>44197</v>
      </c>
      <c r="F257" s="29">
        <v>25860</v>
      </c>
    </row>
    <row r="258" spans="2:6" ht="14.25" customHeight="1">
      <c r="B258" s="29">
        <v>2916</v>
      </c>
      <c r="C258" s="31" t="s">
        <v>153</v>
      </c>
      <c r="D258" s="31" t="s">
        <v>152</v>
      </c>
      <c r="E258" s="30">
        <v>44287</v>
      </c>
      <c r="F258" s="29">
        <v>244904</v>
      </c>
    </row>
    <row r="259" spans="2:6" ht="14.25" customHeight="1">
      <c r="B259" s="29">
        <v>2925</v>
      </c>
      <c r="C259" s="31" t="s">
        <v>153</v>
      </c>
      <c r="D259" s="31" t="s">
        <v>152</v>
      </c>
      <c r="E259" s="30">
        <v>44378</v>
      </c>
      <c r="F259" s="29">
        <v>159745</v>
      </c>
    </row>
    <row r="260" spans="2:6" ht="14.25" customHeight="1">
      <c r="B260" s="29">
        <v>2933</v>
      </c>
      <c r="C260" s="31" t="s">
        <v>153</v>
      </c>
      <c r="D260" s="31" t="s">
        <v>146</v>
      </c>
      <c r="E260" s="30">
        <v>44197</v>
      </c>
      <c r="F260" s="29">
        <v>6256</v>
      </c>
    </row>
    <row r="261" spans="2:6" ht="14.25" customHeight="1">
      <c r="B261" s="29">
        <v>2958</v>
      </c>
      <c r="C261" s="31" t="s">
        <v>153</v>
      </c>
      <c r="D261" s="31" t="s">
        <v>151</v>
      </c>
      <c r="E261" s="30">
        <v>44228</v>
      </c>
      <c r="F261" s="29">
        <v>194150</v>
      </c>
    </row>
    <row r="262" spans="2:6" ht="14.25" customHeight="1">
      <c r="B262" s="29">
        <v>2972</v>
      </c>
      <c r="C262" s="31" t="s">
        <v>153</v>
      </c>
      <c r="D262" s="31" t="s">
        <v>148</v>
      </c>
      <c r="E262" s="30">
        <v>44409</v>
      </c>
      <c r="F262" s="29">
        <v>7382</v>
      </c>
    </row>
    <row r="263" spans="2:6" ht="14.25" customHeight="1">
      <c r="B263" s="29">
        <v>3013</v>
      </c>
      <c r="C263" s="31" t="s">
        <v>153</v>
      </c>
      <c r="D263" s="31" t="s">
        <v>146</v>
      </c>
      <c r="E263" s="30">
        <v>44317</v>
      </c>
      <c r="F263" s="29">
        <v>26172</v>
      </c>
    </row>
    <row r="264" spans="2:6" ht="14.25" customHeight="1">
      <c r="B264" s="29">
        <v>3018</v>
      </c>
      <c r="C264" s="31" t="s">
        <v>153</v>
      </c>
      <c r="D264" s="31" t="s">
        <v>146</v>
      </c>
      <c r="E264" s="30">
        <v>44501</v>
      </c>
      <c r="F264" s="29">
        <v>223295</v>
      </c>
    </row>
    <row r="265" spans="2:6" ht="14.25" customHeight="1">
      <c r="B265" s="29">
        <v>3027</v>
      </c>
      <c r="C265" s="31" t="s">
        <v>153</v>
      </c>
      <c r="D265" s="31" t="s">
        <v>152</v>
      </c>
      <c r="E265" s="30">
        <v>44348</v>
      </c>
      <c r="F265" s="29">
        <v>213069</v>
      </c>
    </row>
    <row r="266" spans="2:6" ht="14.25" customHeight="1">
      <c r="B266" s="29">
        <v>3036</v>
      </c>
      <c r="C266" s="31" t="s">
        <v>153</v>
      </c>
      <c r="D266" s="31" t="s">
        <v>148</v>
      </c>
      <c r="E266" s="30">
        <v>44348</v>
      </c>
      <c r="F266" s="29">
        <v>7190</v>
      </c>
    </row>
    <row r="267" spans="2:6" ht="14.25" customHeight="1">
      <c r="B267" s="29">
        <v>3050</v>
      </c>
      <c r="C267" s="31" t="s">
        <v>153</v>
      </c>
      <c r="D267" s="31" t="s">
        <v>152</v>
      </c>
      <c r="E267" s="30">
        <v>44256</v>
      </c>
      <c r="F267" s="29">
        <v>51626</v>
      </c>
    </row>
    <row r="268" spans="2:6" ht="14.25" customHeight="1">
      <c r="B268" s="29">
        <v>3051</v>
      </c>
      <c r="C268" s="31" t="s">
        <v>153</v>
      </c>
      <c r="D268" s="31" t="s">
        <v>144</v>
      </c>
      <c r="E268" s="30">
        <v>44440</v>
      </c>
      <c r="F268" s="29">
        <v>200584</v>
      </c>
    </row>
    <row r="269" spans="2:6" ht="14.25" customHeight="1">
      <c r="B269" s="29">
        <v>3059</v>
      </c>
      <c r="C269" s="31" t="s">
        <v>153</v>
      </c>
      <c r="D269" s="31" t="s">
        <v>151</v>
      </c>
      <c r="E269" s="30">
        <v>44378</v>
      </c>
      <c r="F269" s="29">
        <v>235104</v>
      </c>
    </row>
    <row r="270" spans="2:6" ht="14.25" customHeight="1">
      <c r="B270" s="29">
        <v>3080</v>
      </c>
      <c r="C270" s="31" t="s">
        <v>153</v>
      </c>
      <c r="D270" s="31" t="s">
        <v>152</v>
      </c>
      <c r="E270" s="30">
        <v>44440</v>
      </c>
      <c r="F270" s="29">
        <v>55991</v>
      </c>
    </row>
    <row r="271" spans="2:6" ht="14.25" customHeight="1">
      <c r="B271" s="29">
        <v>3085</v>
      </c>
      <c r="C271" s="31" t="s">
        <v>153</v>
      </c>
      <c r="D271" s="31" t="s">
        <v>148</v>
      </c>
      <c r="E271" s="30">
        <v>44228</v>
      </c>
      <c r="F271" s="29">
        <v>134107</v>
      </c>
    </row>
    <row r="272" spans="2:6" ht="14.25" customHeight="1">
      <c r="B272" s="29">
        <v>3088</v>
      </c>
      <c r="C272" s="31" t="s">
        <v>153</v>
      </c>
      <c r="D272" s="31" t="s">
        <v>144</v>
      </c>
      <c r="E272" s="30">
        <v>44470</v>
      </c>
      <c r="F272" s="29">
        <v>104379</v>
      </c>
    </row>
    <row r="273" spans="2:6" ht="14.25" customHeight="1">
      <c r="B273" s="29">
        <v>3093</v>
      </c>
      <c r="C273" s="31" t="s">
        <v>153</v>
      </c>
      <c r="D273" s="31" t="s">
        <v>151</v>
      </c>
      <c r="E273" s="30">
        <v>44470</v>
      </c>
      <c r="F273" s="29">
        <v>22810</v>
      </c>
    </row>
    <row r="274" spans="2:6" ht="14.25" customHeight="1">
      <c r="B274" s="29">
        <v>3094</v>
      </c>
      <c r="C274" s="31" t="s">
        <v>153</v>
      </c>
      <c r="D274" s="31" t="s">
        <v>148</v>
      </c>
      <c r="E274" s="30">
        <v>44197</v>
      </c>
      <c r="F274" s="29">
        <v>28289</v>
      </c>
    </row>
    <row r="275" spans="2:6" ht="14.25" customHeight="1">
      <c r="B275" s="29">
        <v>3099</v>
      </c>
      <c r="C275" s="31" t="s">
        <v>153</v>
      </c>
      <c r="D275" s="31" t="s">
        <v>151</v>
      </c>
      <c r="E275" s="30">
        <v>44348</v>
      </c>
      <c r="F275" s="29">
        <v>65162</v>
      </c>
    </row>
    <row r="276" spans="2:6" ht="14.25" customHeight="1">
      <c r="B276" s="29">
        <v>3103</v>
      </c>
      <c r="C276" s="31" t="s">
        <v>149</v>
      </c>
      <c r="D276" s="31" t="s">
        <v>151</v>
      </c>
      <c r="E276" s="30">
        <v>44256</v>
      </c>
      <c r="F276" s="29">
        <v>201340</v>
      </c>
    </row>
    <row r="277" spans="2:6" ht="14.25" customHeight="1">
      <c r="B277" s="29">
        <v>3106</v>
      </c>
      <c r="C277" s="31" t="s">
        <v>150</v>
      </c>
      <c r="D277" s="31" t="s">
        <v>144</v>
      </c>
      <c r="E277" s="30">
        <v>44501</v>
      </c>
      <c r="F277" s="29">
        <v>55433</v>
      </c>
    </row>
    <row r="278" spans="2:6" ht="14.25" customHeight="1">
      <c r="B278" s="29">
        <v>3108</v>
      </c>
      <c r="C278" s="31" t="s">
        <v>145</v>
      </c>
      <c r="D278" s="31" t="s">
        <v>152</v>
      </c>
      <c r="E278" s="30">
        <v>44378</v>
      </c>
      <c r="F278" s="29">
        <v>104422</v>
      </c>
    </row>
    <row r="279" spans="2:6" ht="14.25" customHeight="1">
      <c r="B279" s="29">
        <v>3119</v>
      </c>
      <c r="C279" s="31" t="s">
        <v>149</v>
      </c>
      <c r="D279" s="31" t="s">
        <v>148</v>
      </c>
      <c r="E279" s="30">
        <v>44531</v>
      </c>
      <c r="F279" s="29">
        <v>100956</v>
      </c>
    </row>
    <row r="280" spans="2:6" ht="14.25" customHeight="1">
      <c r="B280" s="29">
        <v>3120</v>
      </c>
      <c r="C280" s="31" t="s">
        <v>149</v>
      </c>
      <c r="D280" s="31" t="s">
        <v>144</v>
      </c>
      <c r="E280" s="30">
        <v>44287</v>
      </c>
      <c r="F280" s="29">
        <v>135272</v>
      </c>
    </row>
    <row r="281" spans="2:6" ht="14.25" customHeight="1">
      <c r="B281" s="29">
        <v>3122</v>
      </c>
      <c r="C281" s="31" t="s">
        <v>150</v>
      </c>
      <c r="D281" s="31" t="s">
        <v>146</v>
      </c>
      <c r="E281" s="30">
        <v>44378</v>
      </c>
      <c r="F281" s="29">
        <v>59920</v>
      </c>
    </row>
    <row r="282" spans="2:6" ht="14.25" customHeight="1">
      <c r="B282" s="29">
        <v>3125</v>
      </c>
      <c r="C282" s="31" t="s">
        <v>149</v>
      </c>
      <c r="D282" s="31" t="s">
        <v>146</v>
      </c>
      <c r="E282" s="30">
        <v>44470</v>
      </c>
      <c r="F282" s="29">
        <v>163127</v>
      </c>
    </row>
    <row r="283" spans="2:6" ht="14.25" customHeight="1">
      <c r="B283" s="29">
        <v>3127</v>
      </c>
      <c r="C283" s="31" t="s">
        <v>150</v>
      </c>
      <c r="D283" s="31" t="s">
        <v>152</v>
      </c>
      <c r="E283" s="30">
        <v>44531</v>
      </c>
      <c r="F283" s="29">
        <v>232472</v>
      </c>
    </row>
    <row r="284" spans="2:6" ht="14.25" customHeight="1">
      <c r="B284" s="29">
        <v>3138</v>
      </c>
      <c r="C284" s="31" t="s">
        <v>145</v>
      </c>
      <c r="D284" s="31" t="s">
        <v>146</v>
      </c>
      <c r="E284" s="30">
        <v>44501</v>
      </c>
      <c r="F284" s="29">
        <v>28110</v>
      </c>
    </row>
    <row r="285" spans="2:6" ht="14.25" customHeight="1">
      <c r="B285" s="29">
        <v>3145</v>
      </c>
      <c r="C285" s="31" t="s">
        <v>145</v>
      </c>
      <c r="D285" s="31" t="s">
        <v>152</v>
      </c>
      <c r="E285" s="30">
        <v>44197</v>
      </c>
      <c r="F285" s="29">
        <v>40778</v>
      </c>
    </row>
    <row r="286" spans="2:6" ht="14.25" customHeight="1">
      <c r="B286" s="29">
        <v>3159</v>
      </c>
      <c r="C286" s="31" t="s">
        <v>147</v>
      </c>
      <c r="D286" s="31" t="s">
        <v>151</v>
      </c>
      <c r="E286" s="30">
        <v>44197</v>
      </c>
      <c r="F286" s="29">
        <v>219774</v>
      </c>
    </row>
    <row r="287" spans="2:6" ht="14.25" customHeight="1">
      <c r="B287" s="29">
        <v>3173</v>
      </c>
      <c r="C287" s="31" t="s">
        <v>147</v>
      </c>
      <c r="D287" s="31" t="s">
        <v>152</v>
      </c>
      <c r="E287" s="30">
        <v>44409</v>
      </c>
      <c r="F287" s="29">
        <v>216458</v>
      </c>
    </row>
    <row r="288" spans="2:6" ht="14.25" customHeight="1">
      <c r="B288" s="29">
        <v>3179</v>
      </c>
      <c r="C288" s="31" t="s">
        <v>147</v>
      </c>
      <c r="D288" s="31" t="s">
        <v>144</v>
      </c>
      <c r="E288" s="30">
        <v>44256</v>
      </c>
      <c r="F288" s="29">
        <v>39973</v>
      </c>
    </row>
    <row r="289" spans="2:6" ht="14.25" customHeight="1">
      <c r="B289" s="29">
        <v>3189</v>
      </c>
      <c r="C289" s="31" t="s">
        <v>150</v>
      </c>
      <c r="D289" s="31" t="s">
        <v>148</v>
      </c>
      <c r="E289" s="30">
        <v>44501</v>
      </c>
      <c r="F289" s="29">
        <v>195638</v>
      </c>
    </row>
    <row r="290" spans="2:6" ht="14.25" customHeight="1">
      <c r="B290" s="29">
        <v>3224</v>
      </c>
      <c r="C290" s="31" t="s">
        <v>150</v>
      </c>
      <c r="D290" s="31" t="s">
        <v>144</v>
      </c>
      <c r="E290" s="30">
        <v>44197</v>
      </c>
      <c r="F290" s="29">
        <v>256329</v>
      </c>
    </row>
    <row r="291" spans="2:6" ht="14.25" customHeight="1">
      <c r="B291" s="29">
        <v>3249</v>
      </c>
      <c r="C291" s="31" t="s">
        <v>147</v>
      </c>
      <c r="D291" s="31" t="s">
        <v>151</v>
      </c>
      <c r="E291" s="30">
        <v>44348</v>
      </c>
      <c r="F291" s="29">
        <v>11238</v>
      </c>
    </row>
    <row r="292" spans="2:6" ht="14.25" customHeight="1">
      <c r="B292" s="29">
        <v>3250</v>
      </c>
      <c r="C292" s="31" t="s">
        <v>149</v>
      </c>
      <c r="D292" s="31" t="s">
        <v>144</v>
      </c>
      <c r="E292" s="30">
        <v>44501</v>
      </c>
      <c r="F292" s="29">
        <v>20238</v>
      </c>
    </row>
    <row r="293" spans="2:6" ht="14.25" customHeight="1">
      <c r="B293" s="29">
        <v>3252</v>
      </c>
      <c r="C293" s="31" t="s">
        <v>147</v>
      </c>
      <c r="D293" s="31" t="s">
        <v>151</v>
      </c>
      <c r="E293" s="30">
        <v>44378</v>
      </c>
      <c r="F293" s="29">
        <v>226327</v>
      </c>
    </row>
    <row r="294" spans="2:6" ht="14.25" customHeight="1">
      <c r="B294" s="29">
        <v>3265</v>
      </c>
      <c r="C294" s="31" t="s">
        <v>150</v>
      </c>
      <c r="D294" s="31" t="s">
        <v>146</v>
      </c>
      <c r="E294" s="30">
        <v>44228</v>
      </c>
      <c r="F294" s="29">
        <v>192728</v>
      </c>
    </row>
    <row r="295" spans="2:6" ht="14.25" customHeight="1">
      <c r="B295" s="29">
        <v>3268</v>
      </c>
      <c r="C295" s="31" t="s">
        <v>147</v>
      </c>
      <c r="D295" s="31" t="s">
        <v>146</v>
      </c>
      <c r="E295" s="30">
        <v>44470</v>
      </c>
      <c r="F295" s="29">
        <v>245470</v>
      </c>
    </row>
    <row r="296" spans="2:6" ht="14.25" customHeight="1">
      <c r="B296" s="29">
        <v>3287</v>
      </c>
      <c r="C296" s="31" t="s">
        <v>147</v>
      </c>
      <c r="D296" s="31" t="s">
        <v>146</v>
      </c>
      <c r="E296" s="30">
        <v>44440</v>
      </c>
      <c r="F296" s="29">
        <v>12156</v>
      </c>
    </row>
    <row r="297" spans="2:6" ht="14.25" customHeight="1">
      <c r="B297" s="29">
        <v>3294</v>
      </c>
      <c r="C297" s="31" t="s">
        <v>149</v>
      </c>
      <c r="D297" s="31" t="s">
        <v>148</v>
      </c>
      <c r="E297" s="30">
        <v>44228</v>
      </c>
      <c r="F297" s="29">
        <v>11682</v>
      </c>
    </row>
    <row r="298" spans="2:6" ht="14.25" customHeight="1">
      <c r="B298" s="29">
        <v>3295</v>
      </c>
      <c r="C298" s="31" t="s">
        <v>145</v>
      </c>
      <c r="D298" s="31" t="s">
        <v>152</v>
      </c>
      <c r="E298" s="30">
        <v>44501</v>
      </c>
      <c r="F298" s="29">
        <v>161110</v>
      </c>
    </row>
    <row r="299" spans="2:6" ht="14.25" customHeight="1">
      <c r="B299" s="29">
        <v>3305</v>
      </c>
      <c r="C299" s="31" t="s">
        <v>150</v>
      </c>
      <c r="D299" s="31" t="s">
        <v>151</v>
      </c>
      <c r="E299" s="30">
        <v>44256</v>
      </c>
      <c r="F299" s="29">
        <v>155535</v>
      </c>
    </row>
    <row r="300" spans="2:6" ht="14.25" customHeight="1">
      <c r="B300" s="29">
        <v>3307</v>
      </c>
      <c r="C300" s="31" t="s">
        <v>150</v>
      </c>
      <c r="D300" s="31" t="s">
        <v>144</v>
      </c>
      <c r="E300" s="30">
        <v>44348</v>
      </c>
      <c r="F300" s="29">
        <v>223894</v>
      </c>
    </row>
    <row r="301" spans="2:6" ht="14.25" customHeight="1">
      <c r="B301" s="29">
        <v>3312</v>
      </c>
      <c r="C301" s="31" t="s">
        <v>149</v>
      </c>
      <c r="D301" s="31" t="s">
        <v>151</v>
      </c>
      <c r="E301" s="30">
        <v>44287</v>
      </c>
      <c r="F301" s="29">
        <v>22839</v>
      </c>
    </row>
    <row r="302" spans="2:6" ht="14.25" customHeight="1">
      <c r="B302" s="29">
        <v>3331</v>
      </c>
      <c r="C302" s="31" t="s">
        <v>150</v>
      </c>
      <c r="D302" s="31" t="s">
        <v>152</v>
      </c>
      <c r="E302" s="30">
        <v>44348</v>
      </c>
      <c r="F302" s="29">
        <v>-14202</v>
      </c>
    </row>
    <row r="303" spans="2:6" ht="14.25" customHeight="1">
      <c r="B303" s="29">
        <v>3333</v>
      </c>
      <c r="C303" s="31" t="s">
        <v>149</v>
      </c>
      <c r="D303" s="31" t="s">
        <v>146</v>
      </c>
      <c r="E303" s="30">
        <v>44440</v>
      </c>
      <c r="F303" s="29">
        <v>98246</v>
      </c>
    </row>
    <row r="304" spans="2:6" ht="14.25" customHeight="1">
      <c r="B304" s="29">
        <v>3361</v>
      </c>
      <c r="C304" s="31" t="s">
        <v>147</v>
      </c>
      <c r="D304" s="31" t="s">
        <v>152</v>
      </c>
      <c r="E304" s="30">
        <v>44317</v>
      </c>
      <c r="F304" s="29">
        <v>111998</v>
      </c>
    </row>
    <row r="305" spans="2:6" ht="14.25" customHeight="1">
      <c r="B305" s="29">
        <v>3379</v>
      </c>
      <c r="C305" s="31" t="s">
        <v>150</v>
      </c>
      <c r="D305" s="31" t="s">
        <v>146</v>
      </c>
      <c r="E305" s="30">
        <v>44440</v>
      </c>
      <c r="F305" s="29">
        <v>74093</v>
      </c>
    </row>
    <row r="306" spans="2:6" ht="14.25" customHeight="1">
      <c r="B306" s="29">
        <v>3394</v>
      </c>
      <c r="C306" s="31" t="s">
        <v>149</v>
      </c>
      <c r="D306" s="31" t="s">
        <v>152</v>
      </c>
      <c r="E306" s="30">
        <v>44501</v>
      </c>
      <c r="F306" s="29">
        <v>40179</v>
      </c>
    </row>
    <row r="307" spans="2:6" ht="14.25" customHeight="1">
      <c r="B307" s="29">
        <v>3399</v>
      </c>
      <c r="C307" s="31" t="s">
        <v>145</v>
      </c>
      <c r="D307" s="31" t="s">
        <v>151</v>
      </c>
      <c r="E307" s="30">
        <v>44409</v>
      </c>
      <c r="F307" s="29">
        <v>75634</v>
      </c>
    </row>
    <row r="308" spans="2:6" ht="14.25" customHeight="1">
      <c r="B308" s="29">
        <v>3412</v>
      </c>
      <c r="C308" s="31" t="s">
        <v>147</v>
      </c>
      <c r="D308" s="31" t="s">
        <v>152</v>
      </c>
      <c r="E308" s="30">
        <v>44228</v>
      </c>
      <c r="F308" s="29">
        <v>-11610</v>
      </c>
    </row>
    <row r="309" spans="2:6" ht="14.25" customHeight="1">
      <c r="B309" s="29">
        <v>3423</v>
      </c>
      <c r="C309" s="31" t="s">
        <v>145</v>
      </c>
      <c r="D309" s="31" t="s">
        <v>152</v>
      </c>
      <c r="E309" s="30">
        <v>44348</v>
      </c>
      <c r="F309" s="29">
        <v>34080</v>
      </c>
    </row>
    <row r="310" spans="2:6" ht="14.25" customHeight="1">
      <c r="B310" s="29">
        <v>3440</v>
      </c>
      <c r="C310" s="31" t="s">
        <v>147</v>
      </c>
      <c r="D310" s="31" t="s">
        <v>151</v>
      </c>
      <c r="E310" s="30">
        <v>44317</v>
      </c>
      <c r="F310" s="29">
        <v>239368</v>
      </c>
    </row>
    <row r="311" spans="2:6" ht="14.25" customHeight="1">
      <c r="B311" s="29">
        <v>3442</v>
      </c>
      <c r="C311" s="31" t="s">
        <v>149</v>
      </c>
      <c r="D311" s="31" t="s">
        <v>148</v>
      </c>
      <c r="E311" s="30">
        <v>44470</v>
      </c>
      <c r="F311" s="29">
        <v>86076</v>
      </c>
    </row>
    <row r="312" spans="2:6" ht="14.25" customHeight="1">
      <c r="B312" s="29">
        <v>3443</v>
      </c>
      <c r="C312" s="31" t="s">
        <v>145</v>
      </c>
      <c r="D312" s="31" t="s">
        <v>146</v>
      </c>
      <c r="E312" s="30">
        <v>44256</v>
      </c>
      <c r="F312" s="29">
        <v>75969</v>
      </c>
    </row>
    <row r="313" spans="2:6" ht="14.25" customHeight="1">
      <c r="B313" s="29">
        <v>3450</v>
      </c>
      <c r="C313" s="31" t="s">
        <v>149</v>
      </c>
      <c r="D313" s="31" t="s">
        <v>146</v>
      </c>
      <c r="E313" s="30">
        <v>44378</v>
      </c>
      <c r="F313" s="29">
        <v>-39689</v>
      </c>
    </row>
    <row r="314" spans="2:6" ht="14.25" customHeight="1">
      <c r="B314" s="29">
        <v>3454</v>
      </c>
      <c r="C314" s="31" t="s">
        <v>149</v>
      </c>
      <c r="D314" s="31" t="s">
        <v>148</v>
      </c>
      <c r="E314" s="30">
        <v>44287</v>
      </c>
      <c r="F314" s="29">
        <v>51383</v>
      </c>
    </row>
    <row r="315" spans="2:6" ht="14.25" customHeight="1">
      <c r="B315" s="29">
        <v>3469</v>
      </c>
      <c r="C315" s="31" t="s">
        <v>150</v>
      </c>
      <c r="D315" s="31" t="s">
        <v>146</v>
      </c>
      <c r="E315" s="30">
        <v>44378</v>
      </c>
      <c r="F315" s="29">
        <v>252080</v>
      </c>
    </row>
    <row r="316" spans="2:6" ht="14.25" customHeight="1">
      <c r="B316" s="29">
        <v>3471</v>
      </c>
      <c r="C316" s="31" t="s">
        <v>149</v>
      </c>
      <c r="D316" s="31" t="s">
        <v>148</v>
      </c>
      <c r="E316" s="30">
        <v>44378</v>
      </c>
      <c r="F316" s="29">
        <v>176652</v>
      </c>
    </row>
    <row r="317" spans="2:6" ht="14.25" customHeight="1">
      <c r="B317" s="29">
        <v>3479</v>
      </c>
      <c r="C317" s="31" t="s">
        <v>147</v>
      </c>
      <c r="D317" s="31" t="s">
        <v>146</v>
      </c>
      <c r="E317" s="30">
        <v>44317</v>
      </c>
      <c r="F317" s="29">
        <v>125616</v>
      </c>
    </row>
    <row r="318" spans="2:6" ht="14.25" customHeight="1">
      <c r="B318" s="29">
        <v>3498</v>
      </c>
      <c r="C318" s="31" t="s">
        <v>145</v>
      </c>
      <c r="D318" s="31" t="s">
        <v>144</v>
      </c>
      <c r="E318" s="30">
        <v>44409</v>
      </c>
      <c r="F318" s="29">
        <v>7269</v>
      </c>
    </row>
    <row r="319" spans="2:6" ht="14.25" customHeight="1"/>
    <row r="320" spans="2:6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A6A2-64F5-4743-957E-108FD9A38AC2}">
  <dimension ref="B3:D316"/>
  <sheetViews>
    <sheetView zoomScaleNormal="100" workbookViewId="0">
      <selection activeCell="T20" sqref="T20"/>
    </sheetView>
  </sheetViews>
  <sheetFormatPr defaultRowHeight="14.4"/>
  <cols>
    <col min="1" max="1" width="12.44140625" style="28" customWidth="1"/>
    <col min="2" max="2" width="16.6640625" style="28" customWidth="1"/>
    <col min="3" max="3" width="23.21875" style="28" customWidth="1"/>
    <col min="4" max="16384" width="8.88671875" style="28"/>
  </cols>
  <sheetData>
    <row r="3" spans="2:4">
      <c r="B3" s="31" t="s">
        <v>157</v>
      </c>
      <c r="C3" s="31" t="s">
        <v>156</v>
      </c>
      <c r="D3" s="31" t="s">
        <v>154</v>
      </c>
    </row>
    <row r="4" spans="2:4">
      <c r="B4" s="31" t="s">
        <v>150</v>
      </c>
      <c r="C4" s="31" t="s">
        <v>152</v>
      </c>
      <c r="D4" s="29">
        <v>-14202</v>
      </c>
    </row>
    <row r="5" spans="2:4">
      <c r="B5" s="31" t="s">
        <v>150</v>
      </c>
      <c r="C5" s="31" t="s">
        <v>152</v>
      </c>
      <c r="D5" s="31">
        <v>17043</v>
      </c>
    </row>
    <row r="6" spans="2:4">
      <c r="B6" s="31" t="s">
        <v>150</v>
      </c>
      <c r="C6" s="31" t="s">
        <v>152</v>
      </c>
      <c r="D6" s="31">
        <v>55010</v>
      </c>
    </row>
    <row r="7" spans="2:4">
      <c r="B7" s="31" t="s">
        <v>150</v>
      </c>
      <c r="C7" s="31" t="s">
        <v>152</v>
      </c>
      <c r="D7" s="29">
        <v>60394</v>
      </c>
    </row>
    <row r="8" spans="2:4">
      <c r="B8" s="31" t="s">
        <v>150</v>
      </c>
      <c r="C8" s="31" t="s">
        <v>152</v>
      </c>
      <c r="D8" s="31">
        <v>166490</v>
      </c>
    </row>
    <row r="9" spans="2:4">
      <c r="B9" s="31" t="s">
        <v>150</v>
      </c>
      <c r="C9" s="31" t="s">
        <v>152</v>
      </c>
      <c r="D9" s="29">
        <v>196137</v>
      </c>
    </row>
    <row r="10" spans="2:4">
      <c r="B10" s="31" t="s">
        <v>150</v>
      </c>
      <c r="C10" s="31" t="s">
        <v>152</v>
      </c>
      <c r="D10" s="31">
        <v>219249</v>
      </c>
    </row>
    <row r="11" spans="2:4">
      <c r="B11" s="31" t="s">
        <v>150</v>
      </c>
      <c r="C11" s="31" t="s">
        <v>152</v>
      </c>
      <c r="D11" s="29">
        <v>232472</v>
      </c>
    </row>
    <row r="12" spans="2:4">
      <c r="B12" s="31" t="s">
        <v>150</v>
      </c>
      <c r="C12" s="31" t="s">
        <v>148</v>
      </c>
      <c r="D12" s="29">
        <v>39271</v>
      </c>
    </row>
    <row r="13" spans="2:4">
      <c r="B13" s="31" t="s">
        <v>150</v>
      </c>
      <c r="C13" s="31" t="s">
        <v>148</v>
      </c>
      <c r="D13" s="31">
        <v>60921</v>
      </c>
    </row>
    <row r="14" spans="2:4">
      <c r="B14" s="31" t="s">
        <v>150</v>
      </c>
      <c r="C14" s="31" t="s">
        <v>148</v>
      </c>
      <c r="D14" s="31">
        <v>87532</v>
      </c>
    </row>
    <row r="15" spans="2:4">
      <c r="B15" s="31" t="s">
        <v>150</v>
      </c>
      <c r="C15" s="31" t="s">
        <v>148</v>
      </c>
      <c r="D15" s="29">
        <v>89649</v>
      </c>
    </row>
    <row r="16" spans="2:4">
      <c r="B16" s="31" t="s">
        <v>150</v>
      </c>
      <c r="C16" s="31" t="s">
        <v>148</v>
      </c>
      <c r="D16" s="29">
        <v>112636</v>
      </c>
    </row>
    <row r="17" spans="2:4">
      <c r="B17" s="31" t="s">
        <v>150</v>
      </c>
      <c r="C17" s="31" t="s">
        <v>148</v>
      </c>
      <c r="D17" s="29">
        <v>195638</v>
      </c>
    </row>
    <row r="18" spans="2:4">
      <c r="B18" s="31" t="s">
        <v>150</v>
      </c>
      <c r="C18" s="31" t="s">
        <v>148</v>
      </c>
      <c r="D18" s="29">
        <v>211082</v>
      </c>
    </row>
    <row r="19" spans="2:4">
      <c r="B19" s="31" t="s">
        <v>150</v>
      </c>
      <c r="C19" s="31" t="s">
        <v>148</v>
      </c>
      <c r="D19" s="29">
        <v>223042</v>
      </c>
    </row>
    <row r="20" spans="2:4">
      <c r="B20" s="31" t="s">
        <v>150</v>
      </c>
      <c r="C20" s="31" t="s">
        <v>148</v>
      </c>
      <c r="D20" s="29">
        <v>258051</v>
      </c>
    </row>
    <row r="21" spans="2:4">
      <c r="B21" s="31" t="s">
        <v>150</v>
      </c>
      <c r="C21" s="31" t="s">
        <v>148</v>
      </c>
      <c r="D21" s="29">
        <v>258583</v>
      </c>
    </row>
    <row r="22" spans="2:4">
      <c r="B22" s="31" t="s">
        <v>150</v>
      </c>
      <c r="C22" s="31" t="s">
        <v>144</v>
      </c>
      <c r="D22" s="29">
        <v>55433</v>
      </c>
    </row>
    <row r="23" spans="2:4">
      <c r="B23" s="31" t="s">
        <v>150</v>
      </c>
      <c r="C23" s="31" t="s">
        <v>144</v>
      </c>
      <c r="D23" s="29">
        <v>61230</v>
      </c>
    </row>
    <row r="24" spans="2:4">
      <c r="B24" s="31" t="s">
        <v>150</v>
      </c>
      <c r="C24" s="31" t="s">
        <v>144</v>
      </c>
      <c r="D24" s="29">
        <v>74022</v>
      </c>
    </row>
    <row r="25" spans="2:4">
      <c r="B25" s="31" t="s">
        <v>150</v>
      </c>
      <c r="C25" s="31" t="s">
        <v>144</v>
      </c>
      <c r="D25" s="31">
        <v>87460</v>
      </c>
    </row>
    <row r="26" spans="2:4">
      <c r="B26" s="31" t="s">
        <v>150</v>
      </c>
      <c r="C26" s="31" t="s">
        <v>144</v>
      </c>
      <c r="D26" s="29">
        <v>114470</v>
      </c>
    </row>
    <row r="27" spans="2:4">
      <c r="B27" s="31" t="s">
        <v>150</v>
      </c>
      <c r="C27" s="31" t="s">
        <v>144</v>
      </c>
      <c r="D27" s="29">
        <v>223894</v>
      </c>
    </row>
    <row r="28" spans="2:4">
      <c r="B28" s="31" t="s">
        <v>150</v>
      </c>
      <c r="C28" s="31" t="s">
        <v>144</v>
      </c>
      <c r="D28" s="29">
        <v>247904</v>
      </c>
    </row>
    <row r="29" spans="2:4">
      <c r="B29" s="31" t="s">
        <v>150</v>
      </c>
      <c r="C29" s="31" t="s">
        <v>144</v>
      </c>
      <c r="D29" s="29">
        <v>256329</v>
      </c>
    </row>
    <row r="30" spans="2:4">
      <c r="B30" s="31" t="s">
        <v>150</v>
      </c>
      <c r="C30" s="31" t="s">
        <v>151</v>
      </c>
      <c r="D30" s="31">
        <v>18670</v>
      </c>
    </row>
    <row r="31" spans="2:4">
      <c r="B31" s="31" t="s">
        <v>150</v>
      </c>
      <c r="C31" s="31" t="s">
        <v>151</v>
      </c>
      <c r="D31" s="29">
        <v>155535</v>
      </c>
    </row>
    <row r="32" spans="2:4">
      <c r="B32" s="31" t="s">
        <v>150</v>
      </c>
      <c r="C32" s="31" t="s">
        <v>151</v>
      </c>
      <c r="D32" s="29">
        <v>208038</v>
      </c>
    </row>
    <row r="33" spans="2:4">
      <c r="B33" s="31" t="s">
        <v>150</v>
      </c>
      <c r="C33" s="31" t="s">
        <v>151</v>
      </c>
      <c r="D33" s="29">
        <v>219148</v>
      </c>
    </row>
    <row r="34" spans="2:4">
      <c r="B34" s="31" t="s">
        <v>150</v>
      </c>
      <c r="C34" s="31" t="s">
        <v>151</v>
      </c>
      <c r="D34" s="29">
        <v>232025</v>
      </c>
    </row>
    <row r="35" spans="2:4">
      <c r="B35" s="31" t="s">
        <v>150</v>
      </c>
      <c r="C35" s="31" t="s">
        <v>151</v>
      </c>
      <c r="D35" s="31">
        <v>242254</v>
      </c>
    </row>
    <row r="36" spans="2:4">
      <c r="B36" s="31" t="s">
        <v>150</v>
      </c>
      <c r="C36" s="31" t="s">
        <v>146</v>
      </c>
      <c r="D36" s="29">
        <v>6345</v>
      </c>
    </row>
    <row r="37" spans="2:4">
      <c r="B37" s="31" t="s">
        <v>150</v>
      </c>
      <c r="C37" s="31" t="s">
        <v>146</v>
      </c>
      <c r="D37" s="29">
        <v>30219</v>
      </c>
    </row>
    <row r="38" spans="2:4">
      <c r="B38" s="31" t="s">
        <v>150</v>
      </c>
      <c r="C38" s="31" t="s">
        <v>146</v>
      </c>
      <c r="D38" s="29">
        <v>41318</v>
      </c>
    </row>
    <row r="39" spans="2:4">
      <c r="B39" s="31" t="s">
        <v>150</v>
      </c>
      <c r="C39" s="31" t="s">
        <v>146</v>
      </c>
      <c r="D39" s="29">
        <v>59920</v>
      </c>
    </row>
    <row r="40" spans="2:4">
      <c r="B40" s="31" t="s">
        <v>150</v>
      </c>
      <c r="C40" s="31" t="s">
        <v>146</v>
      </c>
      <c r="D40" s="29">
        <v>74093</v>
      </c>
    </row>
    <row r="41" spans="2:4">
      <c r="B41" s="31" t="s">
        <v>150</v>
      </c>
      <c r="C41" s="31" t="s">
        <v>146</v>
      </c>
      <c r="D41" s="29">
        <v>124717</v>
      </c>
    </row>
    <row r="42" spans="2:4">
      <c r="B42" s="31" t="s">
        <v>150</v>
      </c>
      <c r="C42" s="31" t="s">
        <v>146</v>
      </c>
      <c r="D42" s="31">
        <v>142874</v>
      </c>
    </row>
    <row r="43" spans="2:4">
      <c r="B43" s="31" t="s">
        <v>150</v>
      </c>
      <c r="C43" s="31" t="s">
        <v>146</v>
      </c>
      <c r="D43" s="29">
        <v>152936</v>
      </c>
    </row>
    <row r="44" spans="2:4">
      <c r="B44" s="31" t="s">
        <v>150</v>
      </c>
      <c r="C44" s="31" t="s">
        <v>146</v>
      </c>
      <c r="D44" s="29">
        <v>189847</v>
      </c>
    </row>
    <row r="45" spans="2:4">
      <c r="B45" s="31" t="s">
        <v>150</v>
      </c>
      <c r="C45" s="31" t="s">
        <v>146</v>
      </c>
      <c r="D45" s="29">
        <v>192728</v>
      </c>
    </row>
    <row r="46" spans="2:4">
      <c r="B46" s="31" t="s">
        <v>150</v>
      </c>
      <c r="C46" s="31" t="s">
        <v>146</v>
      </c>
      <c r="D46" s="29">
        <v>201120</v>
      </c>
    </row>
    <row r="47" spans="2:4">
      <c r="B47" s="31" t="s">
        <v>150</v>
      </c>
      <c r="C47" s="31" t="s">
        <v>146</v>
      </c>
      <c r="D47" s="29">
        <v>252080</v>
      </c>
    </row>
    <row r="48" spans="2:4">
      <c r="B48" s="31" t="s">
        <v>145</v>
      </c>
      <c r="C48" s="31" t="s">
        <v>152</v>
      </c>
      <c r="D48" s="29">
        <v>23560</v>
      </c>
    </row>
    <row r="49" spans="2:4">
      <c r="B49" s="31" t="s">
        <v>145</v>
      </c>
      <c r="C49" s="31" t="s">
        <v>152</v>
      </c>
      <c r="D49" s="29">
        <v>34080</v>
      </c>
    </row>
    <row r="50" spans="2:4">
      <c r="B50" s="31" t="s">
        <v>145</v>
      </c>
      <c r="C50" s="31" t="s">
        <v>152</v>
      </c>
      <c r="D50" s="29">
        <v>40778</v>
      </c>
    </row>
    <row r="51" spans="2:4">
      <c r="B51" s="31" t="s">
        <v>145</v>
      </c>
      <c r="C51" s="31" t="s">
        <v>152</v>
      </c>
      <c r="D51" s="29">
        <v>99343</v>
      </c>
    </row>
    <row r="52" spans="2:4">
      <c r="B52" s="31" t="s">
        <v>145</v>
      </c>
      <c r="C52" s="31" t="s">
        <v>152</v>
      </c>
      <c r="D52" s="29">
        <v>104422</v>
      </c>
    </row>
    <row r="53" spans="2:4">
      <c r="B53" s="31" t="s">
        <v>145</v>
      </c>
      <c r="C53" s="31" t="s">
        <v>152</v>
      </c>
      <c r="D53" s="29">
        <v>161110</v>
      </c>
    </row>
    <row r="54" spans="2:4">
      <c r="B54" s="31" t="s">
        <v>145</v>
      </c>
      <c r="C54" s="31" t="s">
        <v>148</v>
      </c>
      <c r="D54" s="29">
        <v>12709</v>
      </c>
    </row>
    <row r="55" spans="2:4">
      <c r="B55" s="31" t="s">
        <v>145</v>
      </c>
      <c r="C55" s="31" t="s">
        <v>148</v>
      </c>
      <c r="D55" s="29">
        <v>26819</v>
      </c>
    </row>
    <row r="56" spans="2:4">
      <c r="B56" s="31" t="s">
        <v>145</v>
      </c>
      <c r="C56" s="31" t="s">
        <v>148</v>
      </c>
      <c r="D56" s="29">
        <v>42319</v>
      </c>
    </row>
    <row r="57" spans="2:4">
      <c r="B57" s="31" t="s">
        <v>145</v>
      </c>
      <c r="C57" s="31" t="s">
        <v>148</v>
      </c>
      <c r="D57" s="29">
        <v>57755</v>
      </c>
    </row>
    <row r="58" spans="2:4">
      <c r="B58" s="31" t="s">
        <v>145</v>
      </c>
      <c r="C58" s="31" t="s">
        <v>148</v>
      </c>
      <c r="D58" s="29">
        <v>71529</v>
      </c>
    </row>
    <row r="59" spans="2:4">
      <c r="B59" s="31" t="s">
        <v>145</v>
      </c>
      <c r="C59" s="31" t="s">
        <v>148</v>
      </c>
      <c r="D59" s="29">
        <v>109849</v>
      </c>
    </row>
    <row r="60" spans="2:4">
      <c r="B60" s="31" t="s">
        <v>145</v>
      </c>
      <c r="C60" s="31" t="s">
        <v>148</v>
      </c>
      <c r="D60" s="29">
        <v>164464</v>
      </c>
    </row>
    <row r="61" spans="2:4">
      <c r="B61" s="31" t="s">
        <v>145</v>
      </c>
      <c r="C61" s="31" t="s">
        <v>148</v>
      </c>
      <c r="D61" s="31">
        <v>180969</v>
      </c>
    </row>
    <row r="62" spans="2:4">
      <c r="B62" s="31" t="s">
        <v>145</v>
      </c>
      <c r="C62" s="31" t="s">
        <v>148</v>
      </c>
      <c r="D62" s="29">
        <v>210352</v>
      </c>
    </row>
    <row r="63" spans="2:4">
      <c r="B63" s="31" t="s">
        <v>145</v>
      </c>
      <c r="C63" s="31" t="s">
        <v>148</v>
      </c>
      <c r="D63" s="29">
        <v>236531</v>
      </c>
    </row>
    <row r="64" spans="2:4">
      <c r="B64" s="31" t="s">
        <v>145</v>
      </c>
      <c r="C64" s="31" t="s">
        <v>144</v>
      </c>
      <c r="D64" s="29">
        <v>7269</v>
      </c>
    </row>
    <row r="65" spans="2:4">
      <c r="B65" s="31" t="s">
        <v>145</v>
      </c>
      <c r="C65" s="31" t="s">
        <v>144</v>
      </c>
      <c r="D65" s="29">
        <v>19002</v>
      </c>
    </row>
    <row r="66" spans="2:4">
      <c r="B66" s="31" t="s">
        <v>145</v>
      </c>
      <c r="C66" s="31" t="s">
        <v>144</v>
      </c>
      <c r="D66" s="29">
        <v>23010</v>
      </c>
    </row>
    <row r="67" spans="2:4">
      <c r="B67" s="31" t="s">
        <v>145</v>
      </c>
      <c r="C67" s="31" t="s">
        <v>144</v>
      </c>
      <c r="D67" s="29">
        <v>36547</v>
      </c>
    </row>
    <row r="68" spans="2:4">
      <c r="B68" s="31" t="s">
        <v>145</v>
      </c>
      <c r="C68" s="31" t="s">
        <v>144</v>
      </c>
      <c r="D68" s="29">
        <v>124153</v>
      </c>
    </row>
    <row r="69" spans="2:4">
      <c r="B69" s="31" t="s">
        <v>145</v>
      </c>
      <c r="C69" s="31" t="s">
        <v>144</v>
      </c>
      <c r="D69" s="29">
        <v>126174</v>
      </c>
    </row>
    <row r="70" spans="2:4">
      <c r="B70" s="31" t="s">
        <v>145</v>
      </c>
      <c r="C70" s="31" t="s">
        <v>144</v>
      </c>
      <c r="D70" s="29">
        <v>220591</v>
      </c>
    </row>
    <row r="71" spans="2:4">
      <c r="B71" s="31" t="s">
        <v>145</v>
      </c>
      <c r="C71" s="31" t="s">
        <v>151</v>
      </c>
      <c r="D71" s="29">
        <v>1696</v>
      </c>
    </row>
    <row r="72" spans="2:4">
      <c r="B72" s="31" t="s">
        <v>145</v>
      </c>
      <c r="C72" s="31" t="s">
        <v>151</v>
      </c>
      <c r="D72" s="29">
        <v>13845</v>
      </c>
    </row>
    <row r="73" spans="2:4">
      <c r="B73" s="31" t="s">
        <v>145</v>
      </c>
      <c r="C73" s="31" t="s">
        <v>151</v>
      </c>
      <c r="D73" s="29">
        <v>27849</v>
      </c>
    </row>
    <row r="74" spans="2:4">
      <c r="B74" s="31" t="s">
        <v>145</v>
      </c>
      <c r="C74" s="31" t="s">
        <v>151</v>
      </c>
      <c r="D74" s="29">
        <v>75634</v>
      </c>
    </row>
    <row r="75" spans="2:4">
      <c r="B75" s="31" t="s">
        <v>145</v>
      </c>
      <c r="C75" s="31" t="s">
        <v>151</v>
      </c>
      <c r="D75" s="31">
        <v>86220</v>
      </c>
    </row>
    <row r="76" spans="2:4">
      <c r="B76" s="31" t="s">
        <v>145</v>
      </c>
      <c r="C76" s="31" t="s">
        <v>151</v>
      </c>
      <c r="D76" s="29">
        <v>91931</v>
      </c>
    </row>
    <row r="77" spans="2:4">
      <c r="B77" s="31" t="s">
        <v>145</v>
      </c>
      <c r="C77" s="31" t="s">
        <v>151</v>
      </c>
      <c r="D77" s="29">
        <v>157993</v>
      </c>
    </row>
    <row r="78" spans="2:4">
      <c r="B78" s="31" t="s">
        <v>145</v>
      </c>
      <c r="C78" s="31" t="s">
        <v>151</v>
      </c>
      <c r="D78" s="31">
        <v>173199</v>
      </c>
    </row>
    <row r="79" spans="2:4">
      <c r="B79" s="31" t="s">
        <v>145</v>
      </c>
      <c r="C79" s="31" t="s">
        <v>146</v>
      </c>
      <c r="D79" s="29">
        <v>28110</v>
      </c>
    </row>
    <row r="80" spans="2:4">
      <c r="B80" s="31" t="s">
        <v>145</v>
      </c>
      <c r="C80" s="31" t="s">
        <v>146</v>
      </c>
      <c r="D80" s="29">
        <v>75969</v>
      </c>
    </row>
    <row r="81" spans="2:4">
      <c r="B81" s="31" t="s">
        <v>145</v>
      </c>
      <c r="C81" s="31" t="s">
        <v>146</v>
      </c>
      <c r="D81" s="29">
        <v>198140</v>
      </c>
    </row>
    <row r="82" spans="2:4">
      <c r="B82" s="31" t="s">
        <v>153</v>
      </c>
      <c r="C82" s="31" t="s">
        <v>152</v>
      </c>
      <c r="D82" s="29">
        <v>7819</v>
      </c>
    </row>
    <row r="83" spans="2:4">
      <c r="B83" s="31" t="s">
        <v>153</v>
      </c>
      <c r="C83" s="31" t="s">
        <v>152</v>
      </c>
      <c r="D83" s="29">
        <v>8406</v>
      </c>
    </row>
    <row r="84" spans="2:4">
      <c r="B84" s="31" t="s">
        <v>153</v>
      </c>
      <c r="C84" s="31" t="s">
        <v>152</v>
      </c>
      <c r="D84" s="29">
        <v>17150</v>
      </c>
    </row>
    <row r="85" spans="2:4">
      <c r="B85" s="31" t="s">
        <v>153</v>
      </c>
      <c r="C85" s="31" t="s">
        <v>152</v>
      </c>
      <c r="D85" s="29">
        <v>24838</v>
      </c>
    </row>
    <row r="86" spans="2:4">
      <c r="B86" s="31" t="s">
        <v>153</v>
      </c>
      <c r="C86" s="31" t="s">
        <v>152</v>
      </c>
      <c r="D86" s="29">
        <v>27137</v>
      </c>
    </row>
    <row r="87" spans="2:4">
      <c r="B87" s="31" t="s">
        <v>153</v>
      </c>
      <c r="C87" s="31" t="s">
        <v>152</v>
      </c>
      <c r="D87" s="29">
        <v>32352</v>
      </c>
    </row>
    <row r="88" spans="2:4">
      <c r="B88" s="31" t="s">
        <v>153</v>
      </c>
      <c r="C88" s="31" t="s">
        <v>152</v>
      </c>
      <c r="D88" s="31">
        <v>36125</v>
      </c>
    </row>
    <row r="89" spans="2:4">
      <c r="B89" s="31" t="s">
        <v>153</v>
      </c>
      <c r="C89" s="31" t="s">
        <v>152</v>
      </c>
      <c r="D89" s="29">
        <v>51626</v>
      </c>
    </row>
    <row r="90" spans="2:4">
      <c r="B90" s="31" t="s">
        <v>153</v>
      </c>
      <c r="C90" s="31" t="s">
        <v>152</v>
      </c>
      <c r="D90" s="29">
        <v>55991</v>
      </c>
    </row>
    <row r="91" spans="2:4">
      <c r="B91" s="31" t="s">
        <v>153</v>
      </c>
      <c r="C91" s="31" t="s">
        <v>152</v>
      </c>
      <c r="D91" s="29">
        <v>59423</v>
      </c>
    </row>
    <row r="92" spans="2:4">
      <c r="B92" s="31" t="s">
        <v>153</v>
      </c>
      <c r="C92" s="31" t="s">
        <v>152</v>
      </c>
      <c r="D92" s="29">
        <v>63494</v>
      </c>
    </row>
    <row r="93" spans="2:4">
      <c r="B93" s="31" t="s">
        <v>153</v>
      </c>
      <c r="C93" s="31" t="s">
        <v>152</v>
      </c>
      <c r="D93" s="29">
        <v>64755</v>
      </c>
    </row>
    <row r="94" spans="2:4">
      <c r="B94" s="31" t="s">
        <v>153</v>
      </c>
      <c r="C94" s="31" t="s">
        <v>152</v>
      </c>
      <c r="D94" s="29">
        <v>86186</v>
      </c>
    </row>
    <row r="95" spans="2:4">
      <c r="B95" s="31" t="s">
        <v>153</v>
      </c>
      <c r="C95" s="31" t="s">
        <v>152</v>
      </c>
      <c r="D95" s="29">
        <v>105602</v>
      </c>
    </row>
    <row r="96" spans="2:4">
      <c r="B96" s="31" t="s">
        <v>153</v>
      </c>
      <c r="C96" s="31" t="s">
        <v>152</v>
      </c>
      <c r="D96" s="29">
        <v>134977</v>
      </c>
    </row>
    <row r="97" spans="2:4">
      <c r="B97" s="31" t="s">
        <v>153</v>
      </c>
      <c r="C97" s="31" t="s">
        <v>152</v>
      </c>
      <c r="D97" s="29">
        <v>135311</v>
      </c>
    </row>
    <row r="98" spans="2:4">
      <c r="B98" s="31" t="s">
        <v>153</v>
      </c>
      <c r="C98" s="31" t="s">
        <v>152</v>
      </c>
      <c r="D98" s="29">
        <v>137705</v>
      </c>
    </row>
    <row r="99" spans="2:4">
      <c r="B99" s="31" t="s">
        <v>153</v>
      </c>
      <c r="C99" s="31" t="s">
        <v>152</v>
      </c>
      <c r="D99" s="29">
        <v>155266</v>
      </c>
    </row>
    <row r="100" spans="2:4">
      <c r="B100" s="31" t="s">
        <v>153</v>
      </c>
      <c r="C100" s="31" t="s">
        <v>152</v>
      </c>
      <c r="D100" s="29">
        <v>159745</v>
      </c>
    </row>
    <row r="101" spans="2:4">
      <c r="B101" s="31" t="s">
        <v>153</v>
      </c>
      <c r="C101" s="31" t="s">
        <v>152</v>
      </c>
      <c r="D101" s="29">
        <v>166824</v>
      </c>
    </row>
    <row r="102" spans="2:4">
      <c r="B102" s="31" t="s">
        <v>153</v>
      </c>
      <c r="C102" s="31" t="s">
        <v>152</v>
      </c>
      <c r="D102" s="31">
        <v>180474</v>
      </c>
    </row>
    <row r="103" spans="2:4">
      <c r="B103" s="31" t="s">
        <v>153</v>
      </c>
      <c r="C103" s="31" t="s">
        <v>152</v>
      </c>
      <c r="D103" s="29">
        <v>213069</v>
      </c>
    </row>
    <row r="104" spans="2:4">
      <c r="B104" s="31" t="s">
        <v>153</v>
      </c>
      <c r="C104" s="31" t="s">
        <v>152</v>
      </c>
      <c r="D104" s="29">
        <v>217962</v>
      </c>
    </row>
    <row r="105" spans="2:4">
      <c r="B105" s="31" t="s">
        <v>153</v>
      </c>
      <c r="C105" s="31" t="s">
        <v>152</v>
      </c>
      <c r="D105" s="29">
        <v>222162</v>
      </c>
    </row>
    <row r="106" spans="2:4">
      <c r="B106" s="31" t="s">
        <v>153</v>
      </c>
      <c r="C106" s="31" t="s">
        <v>152</v>
      </c>
      <c r="D106" s="29">
        <v>240648</v>
      </c>
    </row>
    <row r="107" spans="2:4">
      <c r="B107" s="31" t="s">
        <v>153</v>
      </c>
      <c r="C107" s="31" t="s">
        <v>152</v>
      </c>
      <c r="D107" s="29">
        <v>244904</v>
      </c>
    </row>
    <row r="108" spans="2:4">
      <c r="B108" s="31" t="s">
        <v>153</v>
      </c>
      <c r="C108" s="31" t="s">
        <v>148</v>
      </c>
      <c r="D108" s="29">
        <v>7110</v>
      </c>
    </row>
    <row r="109" spans="2:4">
      <c r="B109" s="31" t="s">
        <v>153</v>
      </c>
      <c r="C109" s="31" t="s">
        <v>148</v>
      </c>
      <c r="D109" s="29">
        <v>7190</v>
      </c>
    </row>
    <row r="110" spans="2:4">
      <c r="B110" s="31" t="s">
        <v>153</v>
      </c>
      <c r="C110" s="31" t="s">
        <v>148</v>
      </c>
      <c r="D110" s="29">
        <v>7382</v>
      </c>
    </row>
    <row r="111" spans="2:4">
      <c r="B111" s="31" t="s">
        <v>153</v>
      </c>
      <c r="C111" s="31" t="s">
        <v>148</v>
      </c>
      <c r="D111" s="29">
        <v>9682</v>
      </c>
    </row>
    <row r="112" spans="2:4">
      <c r="B112" s="31" t="s">
        <v>153</v>
      </c>
      <c r="C112" s="31" t="s">
        <v>148</v>
      </c>
      <c r="D112" s="29">
        <v>23250</v>
      </c>
    </row>
    <row r="113" spans="2:4">
      <c r="B113" s="31" t="s">
        <v>153</v>
      </c>
      <c r="C113" s="31" t="s">
        <v>148</v>
      </c>
      <c r="D113" s="31">
        <v>25467</v>
      </c>
    </row>
    <row r="114" spans="2:4">
      <c r="B114" s="31" t="s">
        <v>153</v>
      </c>
      <c r="C114" s="31" t="s">
        <v>148</v>
      </c>
      <c r="D114" s="29">
        <v>28289</v>
      </c>
    </row>
    <row r="115" spans="2:4">
      <c r="B115" s="31" t="s">
        <v>153</v>
      </c>
      <c r="C115" s="31" t="s">
        <v>148</v>
      </c>
      <c r="D115" s="29">
        <v>35096</v>
      </c>
    </row>
    <row r="116" spans="2:4">
      <c r="B116" s="31" t="s">
        <v>153</v>
      </c>
      <c r="C116" s="31" t="s">
        <v>148</v>
      </c>
      <c r="D116" s="29">
        <v>44394</v>
      </c>
    </row>
    <row r="117" spans="2:4">
      <c r="B117" s="31" t="s">
        <v>153</v>
      </c>
      <c r="C117" s="31" t="s">
        <v>148</v>
      </c>
      <c r="D117" s="29">
        <v>48442</v>
      </c>
    </row>
    <row r="118" spans="2:4">
      <c r="B118" s="31" t="s">
        <v>153</v>
      </c>
      <c r="C118" s="31" t="s">
        <v>148</v>
      </c>
      <c r="D118" s="29">
        <v>86142</v>
      </c>
    </row>
    <row r="119" spans="2:4">
      <c r="B119" s="31" t="s">
        <v>153</v>
      </c>
      <c r="C119" s="31" t="s">
        <v>148</v>
      </c>
      <c r="D119" s="29">
        <v>89802</v>
      </c>
    </row>
    <row r="120" spans="2:4">
      <c r="B120" s="31" t="s">
        <v>153</v>
      </c>
      <c r="C120" s="31" t="s">
        <v>148</v>
      </c>
      <c r="D120" s="29">
        <v>96209</v>
      </c>
    </row>
    <row r="121" spans="2:4">
      <c r="B121" s="31" t="s">
        <v>153</v>
      </c>
      <c r="C121" s="31" t="s">
        <v>148</v>
      </c>
      <c r="D121" s="29">
        <v>115261</v>
      </c>
    </row>
    <row r="122" spans="2:4">
      <c r="B122" s="31" t="s">
        <v>153</v>
      </c>
      <c r="C122" s="31" t="s">
        <v>148</v>
      </c>
      <c r="D122" s="29">
        <v>134107</v>
      </c>
    </row>
    <row r="123" spans="2:4">
      <c r="B123" s="31" t="s">
        <v>153</v>
      </c>
      <c r="C123" s="31" t="s">
        <v>148</v>
      </c>
      <c r="D123" s="31">
        <v>135801</v>
      </c>
    </row>
    <row r="124" spans="2:4">
      <c r="B124" s="31" t="s">
        <v>153</v>
      </c>
      <c r="C124" s="31" t="s">
        <v>148</v>
      </c>
      <c r="D124" s="29">
        <v>137843</v>
      </c>
    </row>
    <row r="125" spans="2:4">
      <c r="B125" s="31" t="s">
        <v>153</v>
      </c>
      <c r="C125" s="31" t="s">
        <v>148</v>
      </c>
      <c r="D125" s="29">
        <v>142596</v>
      </c>
    </row>
    <row r="126" spans="2:4">
      <c r="B126" s="31" t="s">
        <v>153</v>
      </c>
      <c r="C126" s="31" t="s">
        <v>148</v>
      </c>
      <c r="D126" s="29">
        <v>146394</v>
      </c>
    </row>
    <row r="127" spans="2:4">
      <c r="B127" s="31" t="s">
        <v>153</v>
      </c>
      <c r="C127" s="31" t="s">
        <v>148</v>
      </c>
      <c r="D127" s="29">
        <v>151301</v>
      </c>
    </row>
    <row r="128" spans="2:4">
      <c r="B128" s="31" t="s">
        <v>153</v>
      </c>
      <c r="C128" s="31" t="s">
        <v>148</v>
      </c>
      <c r="D128" s="31">
        <v>165656</v>
      </c>
    </row>
    <row r="129" spans="2:4">
      <c r="B129" s="31" t="s">
        <v>153</v>
      </c>
      <c r="C129" s="31" t="s">
        <v>148</v>
      </c>
      <c r="D129" s="29">
        <v>165992</v>
      </c>
    </row>
    <row r="130" spans="2:4">
      <c r="B130" s="31" t="s">
        <v>153</v>
      </c>
      <c r="C130" s="31" t="s">
        <v>148</v>
      </c>
      <c r="D130" s="29">
        <v>173616</v>
      </c>
    </row>
    <row r="131" spans="2:4">
      <c r="B131" s="31" t="s">
        <v>153</v>
      </c>
      <c r="C131" s="31" t="s">
        <v>148</v>
      </c>
      <c r="D131" s="31">
        <v>201069</v>
      </c>
    </row>
    <row r="132" spans="2:4">
      <c r="B132" s="31" t="s">
        <v>153</v>
      </c>
      <c r="C132" s="31" t="s">
        <v>148</v>
      </c>
      <c r="D132" s="29">
        <v>210276</v>
      </c>
    </row>
    <row r="133" spans="2:4">
      <c r="B133" s="31" t="s">
        <v>153</v>
      </c>
      <c r="C133" s="31" t="s">
        <v>148</v>
      </c>
      <c r="D133" s="29">
        <v>234786</v>
      </c>
    </row>
    <row r="134" spans="2:4">
      <c r="B134" s="31" t="s">
        <v>153</v>
      </c>
      <c r="C134" s="31" t="s">
        <v>144</v>
      </c>
      <c r="D134" s="29">
        <v>-21877</v>
      </c>
    </row>
    <row r="135" spans="2:4">
      <c r="B135" s="31" t="s">
        <v>153</v>
      </c>
      <c r="C135" s="31" t="s">
        <v>144</v>
      </c>
      <c r="D135" s="29">
        <v>6105</v>
      </c>
    </row>
    <row r="136" spans="2:4">
      <c r="B136" s="31" t="s">
        <v>153</v>
      </c>
      <c r="C136" s="31" t="s">
        <v>144</v>
      </c>
      <c r="D136" s="29">
        <v>8950</v>
      </c>
    </row>
    <row r="137" spans="2:4">
      <c r="B137" s="31" t="s">
        <v>153</v>
      </c>
      <c r="C137" s="31" t="s">
        <v>144</v>
      </c>
      <c r="D137" s="31">
        <v>16452</v>
      </c>
    </row>
    <row r="138" spans="2:4">
      <c r="B138" s="31" t="s">
        <v>153</v>
      </c>
      <c r="C138" s="31" t="s">
        <v>144</v>
      </c>
      <c r="D138" s="29">
        <v>24879</v>
      </c>
    </row>
    <row r="139" spans="2:4">
      <c r="B139" s="31" t="s">
        <v>153</v>
      </c>
      <c r="C139" s="31" t="s">
        <v>144</v>
      </c>
      <c r="D139" s="29">
        <v>56810</v>
      </c>
    </row>
    <row r="140" spans="2:4">
      <c r="B140" s="31" t="s">
        <v>153</v>
      </c>
      <c r="C140" s="31" t="s">
        <v>144</v>
      </c>
      <c r="D140" s="31">
        <v>72086</v>
      </c>
    </row>
    <row r="141" spans="2:4">
      <c r="B141" s="31" t="s">
        <v>153</v>
      </c>
      <c r="C141" s="31" t="s">
        <v>144</v>
      </c>
      <c r="D141" s="29">
        <v>74813</v>
      </c>
    </row>
    <row r="142" spans="2:4">
      <c r="B142" s="31" t="s">
        <v>153</v>
      </c>
      <c r="C142" s="31" t="s">
        <v>144</v>
      </c>
      <c r="D142" s="29">
        <v>81048</v>
      </c>
    </row>
    <row r="143" spans="2:4">
      <c r="B143" s="31" t="s">
        <v>153</v>
      </c>
      <c r="C143" s="31" t="s">
        <v>144</v>
      </c>
      <c r="D143" s="29">
        <v>86843</v>
      </c>
    </row>
    <row r="144" spans="2:4">
      <c r="B144" s="31" t="s">
        <v>153</v>
      </c>
      <c r="C144" s="31" t="s">
        <v>144</v>
      </c>
      <c r="D144" s="29">
        <v>95623</v>
      </c>
    </row>
    <row r="145" spans="2:4">
      <c r="B145" s="31" t="s">
        <v>153</v>
      </c>
      <c r="C145" s="31" t="s">
        <v>144</v>
      </c>
      <c r="D145" s="29">
        <v>104379</v>
      </c>
    </row>
    <row r="146" spans="2:4">
      <c r="B146" s="31" t="s">
        <v>153</v>
      </c>
      <c r="C146" s="31" t="s">
        <v>144</v>
      </c>
      <c r="D146" s="29">
        <v>151084</v>
      </c>
    </row>
    <row r="147" spans="2:4">
      <c r="B147" s="31" t="s">
        <v>153</v>
      </c>
      <c r="C147" s="31" t="s">
        <v>144</v>
      </c>
      <c r="D147" s="31">
        <v>155904</v>
      </c>
    </row>
    <row r="148" spans="2:4">
      <c r="B148" s="31" t="s">
        <v>153</v>
      </c>
      <c r="C148" s="31" t="s">
        <v>144</v>
      </c>
      <c r="D148" s="29">
        <v>158679</v>
      </c>
    </row>
    <row r="149" spans="2:4">
      <c r="B149" s="31" t="s">
        <v>153</v>
      </c>
      <c r="C149" s="31" t="s">
        <v>144</v>
      </c>
      <c r="D149" s="29">
        <v>161532</v>
      </c>
    </row>
    <row r="150" spans="2:4">
      <c r="B150" s="31" t="s">
        <v>153</v>
      </c>
      <c r="C150" s="31" t="s">
        <v>144</v>
      </c>
      <c r="D150" s="29">
        <v>168122</v>
      </c>
    </row>
    <row r="151" spans="2:4">
      <c r="B151" s="31" t="s">
        <v>153</v>
      </c>
      <c r="C151" s="31" t="s">
        <v>144</v>
      </c>
      <c r="D151" s="31">
        <v>169991</v>
      </c>
    </row>
    <row r="152" spans="2:4">
      <c r="B152" s="31" t="s">
        <v>153</v>
      </c>
      <c r="C152" s="31" t="s">
        <v>144</v>
      </c>
      <c r="D152" s="29">
        <v>200584</v>
      </c>
    </row>
    <row r="153" spans="2:4">
      <c r="B153" s="31" t="s">
        <v>153</v>
      </c>
      <c r="C153" s="31" t="s">
        <v>144</v>
      </c>
      <c r="D153" s="29">
        <v>210209</v>
      </c>
    </row>
    <row r="154" spans="2:4">
      <c r="B154" s="31" t="s">
        <v>153</v>
      </c>
      <c r="C154" s="31" t="s">
        <v>144</v>
      </c>
      <c r="D154" s="31">
        <v>247286</v>
      </c>
    </row>
    <row r="155" spans="2:4">
      <c r="B155" s="31" t="s">
        <v>153</v>
      </c>
      <c r="C155" s="31" t="s">
        <v>151</v>
      </c>
      <c r="D155" s="31">
        <v>-37886</v>
      </c>
    </row>
    <row r="156" spans="2:4">
      <c r="B156" s="31" t="s">
        <v>153</v>
      </c>
      <c r="C156" s="31" t="s">
        <v>151</v>
      </c>
      <c r="D156" s="29">
        <v>5652</v>
      </c>
    </row>
    <row r="157" spans="2:4">
      <c r="B157" s="31" t="s">
        <v>153</v>
      </c>
      <c r="C157" s="31" t="s">
        <v>151</v>
      </c>
      <c r="D157" s="29">
        <v>8463</v>
      </c>
    </row>
    <row r="158" spans="2:4">
      <c r="B158" s="31" t="s">
        <v>153</v>
      </c>
      <c r="C158" s="31" t="s">
        <v>151</v>
      </c>
      <c r="D158" s="29">
        <v>9630</v>
      </c>
    </row>
    <row r="159" spans="2:4">
      <c r="B159" s="31" t="s">
        <v>153</v>
      </c>
      <c r="C159" s="31" t="s">
        <v>151</v>
      </c>
      <c r="D159" s="29">
        <v>19225</v>
      </c>
    </row>
    <row r="160" spans="2:4">
      <c r="B160" s="31" t="s">
        <v>153</v>
      </c>
      <c r="C160" s="31" t="s">
        <v>151</v>
      </c>
      <c r="D160" s="29">
        <v>22003</v>
      </c>
    </row>
    <row r="161" spans="2:4">
      <c r="B161" s="31" t="s">
        <v>153</v>
      </c>
      <c r="C161" s="31" t="s">
        <v>151</v>
      </c>
      <c r="D161" s="29">
        <v>22810</v>
      </c>
    </row>
    <row r="162" spans="2:4">
      <c r="B162" s="31" t="s">
        <v>153</v>
      </c>
      <c r="C162" s="31" t="s">
        <v>151</v>
      </c>
      <c r="D162" s="29">
        <v>34334</v>
      </c>
    </row>
    <row r="163" spans="2:4">
      <c r="B163" s="31" t="s">
        <v>153</v>
      </c>
      <c r="C163" s="31" t="s">
        <v>151</v>
      </c>
      <c r="D163" s="31">
        <v>39668</v>
      </c>
    </row>
    <row r="164" spans="2:4">
      <c r="B164" s="31" t="s">
        <v>153</v>
      </c>
      <c r="C164" s="31" t="s">
        <v>151</v>
      </c>
      <c r="D164" s="29">
        <v>65162</v>
      </c>
    </row>
    <row r="165" spans="2:4">
      <c r="B165" s="31" t="s">
        <v>153</v>
      </c>
      <c r="C165" s="31" t="s">
        <v>151</v>
      </c>
      <c r="D165" s="29">
        <v>73163</v>
      </c>
    </row>
    <row r="166" spans="2:4">
      <c r="B166" s="31" t="s">
        <v>153</v>
      </c>
      <c r="C166" s="31" t="s">
        <v>151</v>
      </c>
      <c r="D166" s="29">
        <v>82968</v>
      </c>
    </row>
    <row r="167" spans="2:4">
      <c r="B167" s="31" t="s">
        <v>153</v>
      </c>
      <c r="C167" s="31" t="s">
        <v>151</v>
      </c>
      <c r="D167" s="29">
        <v>86460</v>
      </c>
    </row>
    <row r="168" spans="2:4">
      <c r="B168" s="31" t="s">
        <v>153</v>
      </c>
      <c r="C168" s="31" t="s">
        <v>151</v>
      </c>
      <c r="D168" s="31">
        <v>108879</v>
      </c>
    </row>
    <row r="169" spans="2:4">
      <c r="B169" s="31" t="s">
        <v>153</v>
      </c>
      <c r="C169" s="31" t="s">
        <v>151</v>
      </c>
      <c r="D169" s="29">
        <v>131983</v>
      </c>
    </row>
    <row r="170" spans="2:4">
      <c r="B170" s="31" t="s">
        <v>153</v>
      </c>
      <c r="C170" s="31" t="s">
        <v>151</v>
      </c>
      <c r="D170" s="29">
        <v>138473</v>
      </c>
    </row>
    <row r="171" spans="2:4">
      <c r="B171" s="31" t="s">
        <v>153</v>
      </c>
      <c r="C171" s="31" t="s">
        <v>151</v>
      </c>
      <c r="D171" s="29">
        <v>150851</v>
      </c>
    </row>
    <row r="172" spans="2:4">
      <c r="B172" s="31" t="s">
        <v>153</v>
      </c>
      <c r="C172" s="31" t="s">
        <v>151</v>
      </c>
      <c r="D172" s="29">
        <v>169915</v>
      </c>
    </row>
    <row r="173" spans="2:4">
      <c r="B173" s="31" t="s">
        <v>153</v>
      </c>
      <c r="C173" s="31" t="s">
        <v>151</v>
      </c>
      <c r="D173" s="29">
        <v>190517</v>
      </c>
    </row>
    <row r="174" spans="2:4">
      <c r="B174" s="31" t="s">
        <v>153</v>
      </c>
      <c r="C174" s="31" t="s">
        <v>151</v>
      </c>
      <c r="D174" s="29">
        <v>191733</v>
      </c>
    </row>
    <row r="175" spans="2:4">
      <c r="B175" s="31" t="s">
        <v>153</v>
      </c>
      <c r="C175" s="31" t="s">
        <v>151</v>
      </c>
      <c r="D175" s="29">
        <v>194150</v>
      </c>
    </row>
    <row r="176" spans="2:4">
      <c r="B176" s="31" t="s">
        <v>153</v>
      </c>
      <c r="C176" s="31" t="s">
        <v>151</v>
      </c>
      <c r="D176" s="29">
        <v>203878</v>
      </c>
    </row>
    <row r="177" spans="2:4">
      <c r="B177" s="31" t="s">
        <v>153</v>
      </c>
      <c r="C177" s="31" t="s">
        <v>151</v>
      </c>
      <c r="D177" s="29">
        <v>209590</v>
      </c>
    </row>
    <row r="178" spans="2:4">
      <c r="B178" s="31" t="s">
        <v>153</v>
      </c>
      <c r="C178" s="31" t="s">
        <v>151</v>
      </c>
      <c r="D178" s="29">
        <v>217075</v>
      </c>
    </row>
    <row r="179" spans="2:4">
      <c r="B179" s="31" t="s">
        <v>153</v>
      </c>
      <c r="C179" s="31" t="s">
        <v>151</v>
      </c>
      <c r="D179" s="29">
        <v>220171</v>
      </c>
    </row>
    <row r="180" spans="2:4">
      <c r="B180" s="31" t="s">
        <v>153</v>
      </c>
      <c r="C180" s="31" t="s">
        <v>151</v>
      </c>
      <c r="D180" s="29">
        <v>230726</v>
      </c>
    </row>
    <row r="181" spans="2:4">
      <c r="B181" s="31" t="s">
        <v>153</v>
      </c>
      <c r="C181" s="31" t="s">
        <v>151</v>
      </c>
      <c r="D181" s="29">
        <v>235104</v>
      </c>
    </row>
    <row r="182" spans="2:4">
      <c r="B182" s="31" t="s">
        <v>153</v>
      </c>
      <c r="C182" s="31" t="s">
        <v>151</v>
      </c>
      <c r="D182" s="29">
        <v>259896</v>
      </c>
    </row>
    <row r="183" spans="2:4">
      <c r="B183" s="31" t="s">
        <v>153</v>
      </c>
      <c r="C183" s="31" t="s">
        <v>146</v>
      </c>
      <c r="D183" s="31">
        <v>-34980</v>
      </c>
    </row>
    <row r="184" spans="2:4">
      <c r="B184" s="31" t="s">
        <v>153</v>
      </c>
      <c r="C184" s="31" t="s">
        <v>146</v>
      </c>
      <c r="D184" s="29">
        <v>-15140</v>
      </c>
    </row>
    <row r="185" spans="2:4">
      <c r="B185" s="31" t="s">
        <v>153</v>
      </c>
      <c r="C185" s="31" t="s">
        <v>146</v>
      </c>
      <c r="D185" s="31">
        <v>-7921</v>
      </c>
    </row>
    <row r="186" spans="2:4">
      <c r="B186" s="31" t="s">
        <v>153</v>
      </c>
      <c r="C186" s="31" t="s">
        <v>146</v>
      </c>
      <c r="D186" s="29">
        <v>5850</v>
      </c>
    </row>
    <row r="187" spans="2:4">
      <c r="B187" s="31" t="s">
        <v>153</v>
      </c>
      <c r="C187" s="31" t="s">
        <v>146</v>
      </c>
      <c r="D187" s="29">
        <v>6256</v>
      </c>
    </row>
    <row r="188" spans="2:4">
      <c r="B188" s="31" t="s">
        <v>153</v>
      </c>
      <c r="C188" s="31" t="s">
        <v>146</v>
      </c>
      <c r="D188" s="29">
        <v>10877</v>
      </c>
    </row>
    <row r="189" spans="2:4">
      <c r="B189" s="31" t="s">
        <v>153</v>
      </c>
      <c r="C189" s="31" t="s">
        <v>146</v>
      </c>
      <c r="D189" s="29">
        <v>13179</v>
      </c>
    </row>
    <row r="190" spans="2:4">
      <c r="B190" s="31" t="s">
        <v>153</v>
      </c>
      <c r="C190" s="31" t="s">
        <v>146</v>
      </c>
      <c r="D190" s="29">
        <v>25860</v>
      </c>
    </row>
    <row r="191" spans="2:4">
      <c r="B191" s="31" t="s">
        <v>153</v>
      </c>
      <c r="C191" s="31" t="s">
        <v>146</v>
      </c>
      <c r="D191" s="29">
        <v>26172</v>
      </c>
    </row>
    <row r="192" spans="2:4">
      <c r="B192" s="31" t="s">
        <v>153</v>
      </c>
      <c r="C192" s="31" t="s">
        <v>146</v>
      </c>
      <c r="D192" s="29">
        <v>27327</v>
      </c>
    </row>
    <row r="193" spans="2:4">
      <c r="B193" s="31" t="s">
        <v>153</v>
      </c>
      <c r="C193" s="31" t="s">
        <v>146</v>
      </c>
      <c r="D193" s="29">
        <v>52513</v>
      </c>
    </row>
    <row r="194" spans="2:4">
      <c r="B194" s="31" t="s">
        <v>153</v>
      </c>
      <c r="C194" s="31" t="s">
        <v>146</v>
      </c>
      <c r="D194" s="29">
        <v>67090</v>
      </c>
    </row>
    <row r="195" spans="2:4">
      <c r="B195" s="31" t="s">
        <v>153</v>
      </c>
      <c r="C195" s="31" t="s">
        <v>146</v>
      </c>
      <c r="D195" s="31">
        <v>74221</v>
      </c>
    </row>
    <row r="196" spans="2:4">
      <c r="B196" s="31" t="s">
        <v>153</v>
      </c>
      <c r="C196" s="31" t="s">
        <v>146</v>
      </c>
      <c r="D196" s="29">
        <v>81846</v>
      </c>
    </row>
    <row r="197" spans="2:4">
      <c r="B197" s="31" t="s">
        <v>153</v>
      </c>
      <c r="C197" s="31" t="s">
        <v>146</v>
      </c>
      <c r="D197" s="31">
        <v>84660</v>
      </c>
    </row>
    <row r="198" spans="2:4">
      <c r="B198" s="31" t="s">
        <v>153</v>
      </c>
      <c r="C198" s="31" t="s">
        <v>146</v>
      </c>
      <c r="D198" s="29">
        <v>103592</v>
      </c>
    </row>
    <row r="199" spans="2:4">
      <c r="B199" s="31" t="s">
        <v>153</v>
      </c>
      <c r="C199" s="31" t="s">
        <v>146</v>
      </c>
      <c r="D199" s="31">
        <v>123287</v>
      </c>
    </row>
    <row r="200" spans="2:4">
      <c r="B200" s="31" t="s">
        <v>153</v>
      </c>
      <c r="C200" s="31" t="s">
        <v>146</v>
      </c>
      <c r="D200" s="29">
        <v>129328</v>
      </c>
    </row>
    <row r="201" spans="2:4">
      <c r="B201" s="31" t="s">
        <v>153</v>
      </c>
      <c r="C201" s="31" t="s">
        <v>146</v>
      </c>
      <c r="D201" s="29">
        <v>139432</v>
      </c>
    </row>
    <row r="202" spans="2:4">
      <c r="B202" s="31" t="s">
        <v>153</v>
      </c>
      <c r="C202" s="31" t="s">
        <v>146</v>
      </c>
      <c r="D202" s="29">
        <v>154630</v>
      </c>
    </row>
    <row r="203" spans="2:4">
      <c r="B203" s="31" t="s">
        <v>153</v>
      </c>
      <c r="C203" s="31" t="s">
        <v>146</v>
      </c>
      <c r="D203" s="29">
        <v>156072</v>
      </c>
    </row>
    <row r="204" spans="2:4">
      <c r="B204" s="31" t="s">
        <v>153</v>
      </c>
      <c r="C204" s="31" t="s">
        <v>146</v>
      </c>
      <c r="D204" s="29">
        <v>161165</v>
      </c>
    </row>
    <row r="205" spans="2:4">
      <c r="B205" s="31" t="s">
        <v>153</v>
      </c>
      <c r="C205" s="31" t="s">
        <v>146</v>
      </c>
      <c r="D205" s="29">
        <v>173392</v>
      </c>
    </row>
    <row r="206" spans="2:4">
      <c r="B206" s="31" t="s">
        <v>153</v>
      </c>
      <c r="C206" s="31" t="s">
        <v>146</v>
      </c>
      <c r="D206" s="29">
        <v>175220</v>
      </c>
    </row>
    <row r="207" spans="2:4">
      <c r="B207" s="31" t="s">
        <v>153</v>
      </c>
      <c r="C207" s="31" t="s">
        <v>146</v>
      </c>
      <c r="D207" s="31">
        <v>191293</v>
      </c>
    </row>
    <row r="208" spans="2:4">
      <c r="B208" s="31" t="s">
        <v>153</v>
      </c>
      <c r="C208" s="31" t="s">
        <v>146</v>
      </c>
      <c r="D208" s="29">
        <v>193691</v>
      </c>
    </row>
    <row r="209" spans="2:4">
      <c r="B209" s="31" t="s">
        <v>153</v>
      </c>
      <c r="C209" s="31" t="s">
        <v>146</v>
      </c>
      <c r="D209" s="31">
        <v>207031</v>
      </c>
    </row>
    <row r="210" spans="2:4">
      <c r="B210" s="31" t="s">
        <v>153</v>
      </c>
      <c r="C210" s="31" t="s">
        <v>146</v>
      </c>
      <c r="D210" s="29">
        <v>214102</v>
      </c>
    </row>
    <row r="211" spans="2:4">
      <c r="B211" s="31" t="s">
        <v>153</v>
      </c>
      <c r="C211" s="31" t="s">
        <v>146</v>
      </c>
      <c r="D211" s="29">
        <v>223295</v>
      </c>
    </row>
    <row r="212" spans="2:4">
      <c r="B212" s="31" t="s">
        <v>153</v>
      </c>
      <c r="C212" s="31" t="s">
        <v>146</v>
      </c>
      <c r="D212" s="29">
        <v>229218</v>
      </c>
    </row>
    <row r="213" spans="2:4">
      <c r="B213" s="31" t="s">
        <v>153</v>
      </c>
      <c r="C213" s="31" t="s">
        <v>146</v>
      </c>
      <c r="D213" s="29">
        <v>242971</v>
      </c>
    </row>
    <row r="214" spans="2:4">
      <c r="B214" s="31" t="s">
        <v>153</v>
      </c>
      <c r="C214" s="31" t="s">
        <v>146</v>
      </c>
      <c r="D214" s="29">
        <v>244284</v>
      </c>
    </row>
    <row r="215" spans="2:4">
      <c r="B215" s="31" t="s">
        <v>153</v>
      </c>
      <c r="C215" s="31" t="s">
        <v>146</v>
      </c>
      <c r="D215" s="29">
        <v>249705</v>
      </c>
    </row>
    <row r="216" spans="2:4">
      <c r="B216" s="31" t="s">
        <v>153</v>
      </c>
      <c r="C216" s="31" t="s">
        <v>146</v>
      </c>
      <c r="D216" s="29">
        <v>261354</v>
      </c>
    </row>
    <row r="217" spans="2:4">
      <c r="B217" s="31" t="s">
        <v>149</v>
      </c>
      <c r="C217" s="31" t="s">
        <v>152</v>
      </c>
      <c r="D217" s="29">
        <v>8721</v>
      </c>
    </row>
    <row r="218" spans="2:4">
      <c r="B218" s="31" t="s">
        <v>149</v>
      </c>
      <c r="C218" s="31" t="s">
        <v>152</v>
      </c>
      <c r="D218" s="31">
        <v>12909</v>
      </c>
    </row>
    <row r="219" spans="2:4">
      <c r="B219" s="31" t="s">
        <v>149</v>
      </c>
      <c r="C219" s="31" t="s">
        <v>152</v>
      </c>
      <c r="D219" s="29">
        <v>22305</v>
      </c>
    </row>
    <row r="220" spans="2:4">
      <c r="B220" s="31" t="s">
        <v>149</v>
      </c>
      <c r="C220" s="31" t="s">
        <v>152</v>
      </c>
      <c r="D220" s="31">
        <v>36046</v>
      </c>
    </row>
    <row r="221" spans="2:4">
      <c r="B221" s="31" t="s">
        <v>149</v>
      </c>
      <c r="C221" s="31" t="s">
        <v>152</v>
      </c>
      <c r="D221" s="29">
        <v>40179</v>
      </c>
    </row>
    <row r="222" spans="2:4">
      <c r="B222" s="31" t="s">
        <v>149</v>
      </c>
      <c r="C222" s="31" t="s">
        <v>152</v>
      </c>
      <c r="D222" s="31">
        <v>47888</v>
      </c>
    </row>
    <row r="223" spans="2:4">
      <c r="B223" s="31" t="s">
        <v>149</v>
      </c>
      <c r="C223" s="31" t="s">
        <v>152</v>
      </c>
      <c r="D223" s="29">
        <v>173334</v>
      </c>
    </row>
    <row r="224" spans="2:4">
      <c r="B224" s="31" t="s">
        <v>149</v>
      </c>
      <c r="C224" s="31" t="s">
        <v>152</v>
      </c>
      <c r="D224" s="29">
        <v>187979</v>
      </c>
    </row>
    <row r="225" spans="2:4">
      <c r="B225" s="31" t="s">
        <v>149</v>
      </c>
      <c r="C225" s="31" t="s">
        <v>152</v>
      </c>
      <c r="D225" s="29">
        <v>225220</v>
      </c>
    </row>
    <row r="226" spans="2:4">
      <c r="B226" s="31" t="s">
        <v>149</v>
      </c>
      <c r="C226" s="31" t="s">
        <v>152</v>
      </c>
      <c r="D226" s="29">
        <v>229197</v>
      </c>
    </row>
    <row r="227" spans="2:4">
      <c r="B227" s="31" t="s">
        <v>149</v>
      </c>
      <c r="C227" s="31" t="s">
        <v>152</v>
      </c>
      <c r="D227" s="29">
        <v>252387</v>
      </c>
    </row>
    <row r="228" spans="2:4">
      <c r="B228" s="31" t="s">
        <v>149</v>
      </c>
      <c r="C228" s="31" t="s">
        <v>148</v>
      </c>
      <c r="D228" s="29">
        <v>259</v>
      </c>
    </row>
    <row r="229" spans="2:4">
      <c r="B229" s="31" t="s">
        <v>149</v>
      </c>
      <c r="C229" s="31" t="s">
        <v>148</v>
      </c>
      <c r="D229" s="29">
        <v>11682</v>
      </c>
    </row>
    <row r="230" spans="2:4">
      <c r="B230" s="31" t="s">
        <v>149</v>
      </c>
      <c r="C230" s="31" t="s">
        <v>148</v>
      </c>
      <c r="D230" s="29">
        <v>25301</v>
      </c>
    </row>
    <row r="231" spans="2:4">
      <c r="B231" s="31" t="s">
        <v>149</v>
      </c>
      <c r="C231" s="31" t="s">
        <v>148</v>
      </c>
      <c r="D231" s="29">
        <v>51383</v>
      </c>
    </row>
    <row r="232" spans="2:4">
      <c r="B232" s="31" t="s">
        <v>149</v>
      </c>
      <c r="C232" s="31" t="s">
        <v>148</v>
      </c>
      <c r="D232" s="31">
        <v>57399</v>
      </c>
    </row>
    <row r="233" spans="2:4">
      <c r="B233" s="31" t="s">
        <v>149</v>
      </c>
      <c r="C233" s="31" t="s">
        <v>148</v>
      </c>
      <c r="D233" s="29">
        <v>86076</v>
      </c>
    </row>
    <row r="234" spans="2:4">
      <c r="B234" s="31" t="s">
        <v>149</v>
      </c>
      <c r="C234" s="31" t="s">
        <v>148</v>
      </c>
      <c r="D234" s="29">
        <v>95791</v>
      </c>
    </row>
    <row r="235" spans="2:4">
      <c r="B235" s="31" t="s">
        <v>149</v>
      </c>
      <c r="C235" s="31" t="s">
        <v>148</v>
      </c>
      <c r="D235" s="29">
        <v>100956</v>
      </c>
    </row>
    <row r="236" spans="2:4">
      <c r="B236" s="31" t="s">
        <v>149</v>
      </c>
      <c r="C236" s="31" t="s">
        <v>148</v>
      </c>
      <c r="D236" s="29">
        <v>117440</v>
      </c>
    </row>
    <row r="237" spans="2:4">
      <c r="B237" s="31" t="s">
        <v>149</v>
      </c>
      <c r="C237" s="31" t="s">
        <v>148</v>
      </c>
      <c r="D237" s="29">
        <v>128249</v>
      </c>
    </row>
    <row r="238" spans="2:4">
      <c r="B238" s="31" t="s">
        <v>149</v>
      </c>
      <c r="C238" s="31" t="s">
        <v>148</v>
      </c>
      <c r="D238" s="29">
        <v>139728</v>
      </c>
    </row>
    <row r="239" spans="2:4">
      <c r="B239" s="31" t="s">
        <v>149</v>
      </c>
      <c r="C239" s="31" t="s">
        <v>148</v>
      </c>
      <c r="D239" s="29">
        <v>147727</v>
      </c>
    </row>
    <row r="240" spans="2:4">
      <c r="B240" s="31" t="s">
        <v>149</v>
      </c>
      <c r="C240" s="31" t="s">
        <v>148</v>
      </c>
      <c r="D240" s="29">
        <v>159478</v>
      </c>
    </row>
    <row r="241" spans="2:4">
      <c r="B241" s="31" t="s">
        <v>149</v>
      </c>
      <c r="C241" s="31" t="s">
        <v>148</v>
      </c>
      <c r="D241" s="29">
        <v>176652</v>
      </c>
    </row>
    <row r="242" spans="2:4">
      <c r="B242" s="31" t="s">
        <v>149</v>
      </c>
      <c r="C242" s="31" t="s">
        <v>148</v>
      </c>
      <c r="D242" s="29">
        <v>231047</v>
      </c>
    </row>
    <row r="243" spans="2:4">
      <c r="B243" s="31" t="s">
        <v>149</v>
      </c>
      <c r="C243" s="31" t="s">
        <v>148</v>
      </c>
      <c r="D243" s="29">
        <v>254580</v>
      </c>
    </row>
    <row r="244" spans="2:4">
      <c r="B244" s="31" t="s">
        <v>149</v>
      </c>
      <c r="C244" s="31" t="s">
        <v>144</v>
      </c>
      <c r="D244" s="29">
        <v>6460</v>
      </c>
    </row>
    <row r="245" spans="2:4">
      <c r="B245" s="31" t="s">
        <v>149</v>
      </c>
      <c r="C245" s="31" t="s">
        <v>144</v>
      </c>
      <c r="D245" s="29">
        <v>20238</v>
      </c>
    </row>
    <row r="246" spans="2:4">
      <c r="B246" s="31" t="s">
        <v>149</v>
      </c>
      <c r="C246" s="31" t="s">
        <v>144</v>
      </c>
      <c r="D246" s="29">
        <v>22746</v>
      </c>
    </row>
    <row r="247" spans="2:4">
      <c r="B247" s="31" t="s">
        <v>149</v>
      </c>
      <c r="C247" s="31" t="s">
        <v>144</v>
      </c>
      <c r="D247" s="29">
        <v>29435</v>
      </c>
    </row>
    <row r="248" spans="2:4">
      <c r="B248" s="31" t="s">
        <v>149</v>
      </c>
      <c r="C248" s="31" t="s">
        <v>144</v>
      </c>
      <c r="D248" s="29">
        <v>53266</v>
      </c>
    </row>
    <row r="249" spans="2:4">
      <c r="B249" s="31" t="s">
        <v>149</v>
      </c>
      <c r="C249" s="31" t="s">
        <v>144</v>
      </c>
      <c r="D249" s="29">
        <v>133951</v>
      </c>
    </row>
    <row r="250" spans="2:4">
      <c r="B250" s="31" t="s">
        <v>149</v>
      </c>
      <c r="C250" s="31" t="s">
        <v>144</v>
      </c>
      <c r="D250" s="29">
        <v>135272</v>
      </c>
    </row>
    <row r="251" spans="2:4">
      <c r="B251" s="31" t="s">
        <v>149</v>
      </c>
      <c r="C251" s="31" t="s">
        <v>144</v>
      </c>
      <c r="D251" s="29">
        <v>145328</v>
      </c>
    </row>
    <row r="252" spans="2:4">
      <c r="B252" s="31" t="s">
        <v>149</v>
      </c>
      <c r="C252" s="31" t="s">
        <v>144</v>
      </c>
      <c r="D252" s="29">
        <v>188860</v>
      </c>
    </row>
    <row r="253" spans="2:4">
      <c r="B253" s="31" t="s">
        <v>149</v>
      </c>
      <c r="C253" s="31" t="s">
        <v>144</v>
      </c>
      <c r="D253" s="31">
        <v>193122</v>
      </c>
    </row>
    <row r="254" spans="2:4">
      <c r="B254" s="31" t="s">
        <v>149</v>
      </c>
      <c r="C254" s="31" t="s">
        <v>144</v>
      </c>
      <c r="D254" s="29">
        <v>208053</v>
      </c>
    </row>
    <row r="255" spans="2:4">
      <c r="B255" s="31" t="s">
        <v>149</v>
      </c>
      <c r="C255" s="31" t="s">
        <v>151</v>
      </c>
      <c r="D255" s="29">
        <v>5187</v>
      </c>
    </row>
    <row r="256" spans="2:4">
      <c r="B256" s="31" t="s">
        <v>149</v>
      </c>
      <c r="C256" s="31" t="s">
        <v>151</v>
      </c>
      <c r="D256" s="29">
        <v>12894</v>
      </c>
    </row>
    <row r="257" spans="2:4">
      <c r="B257" s="31" t="s">
        <v>149</v>
      </c>
      <c r="C257" s="31" t="s">
        <v>151</v>
      </c>
      <c r="D257" s="29">
        <v>15238</v>
      </c>
    </row>
    <row r="258" spans="2:4">
      <c r="B258" s="31" t="s">
        <v>149</v>
      </c>
      <c r="C258" s="31" t="s">
        <v>151</v>
      </c>
      <c r="D258" s="29">
        <v>22839</v>
      </c>
    </row>
    <row r="259" spans="2:4">
      <c r="B259" s="31" t="s">
        <v>149</v>
      </c>
      <c r="C259" s="31" t="s">
        <v>151</v>
      </c>
      <c r="D259" s="29">
        <v>33850</v>
      </c>
    </row>
    <row r="260" spans="2:4">
      <c r="B260" s="31" t="s">
        <v>149</v>
      </c>
      <c r="C260" s="31" t="s">
        <v>151</v>
      </c>
      <c r="D260" s="29">
        <v>78549</v>
      </c>
    </row>
    <row r="261" spans="2:4">
      <c r="B261" s="31" t="s">
        <v>149</v>
      </c>
      <c r="C261" s="31" t="s">
        <v>151</v>
      </c>
      <c r="D261" s="29">
        <v>130275</v>
      </c>
    </row>
    <row r="262" spans="2:4">
      <c r="B262" s="31" t="s">
        <v>149</v>
      </c>
      <c r="C262" s="31" t="s">
        <v>151</v>
      </c>
      <c r="D262" s="29">
        <v>155980</v>
      </c>
    </row>
    <row r="263" spans="2:4">
      <c r="B263" s="31" t="s">
        <v>149</v>
      </c>
      <c r="C263" s="31" t="s">
        <v>151</v>
      </c>
      <c r="D263" s="29">
        <v>201340</v>
      </c>
    </row>
    <row r="264" spans="2:4">
      <c r="B264" s="31" t="s">
        <v>149</v>
      </c>
      <c r="C264" s="31" t="s">
        <v>151</v>
      </c>
      <c r="D264" s="29">
        <v>213879</v>
      </c>
    </row>
    <row r="265" spans="2:4">
      <c r="B265" s="31" t="s">
        <v>149</v>
      </c>
      <c r="C265" s="31" t="s">
        <v>151</v>
      </c>
      <c r="D265" s="29">
        <v>216555</v>
      </c>
    </row>
    <row r="266" spans="2:4">
      <c r="B266" s="31" t="s">
        <v>149</v>
      </c>
      <c r="C266" s="31" t="s">
        <v>146</v>
      </c>
      <c r="D266" s="29">
        <v>-39689</v>
      </c>
    </row>
    <row r="267" spans="2:4">
      <c r="B267" s="31" t="s">
        <v>149</v>
      </c>
      <c r="C267" s="31" t="s">
        <v>146</v>
      </c>
      <c r="D267" s="29">
        <v>1661</v>
      </c>
    </row>
    <row r="268" spans="2:4">
      <c r="B268" s="31" t="s">
        <v>149</v>
      </c>
      <c r="C268" s="31" t="s">
        <v>146</v>
      </c>
      <c r="D268" s="29">
        <v>54633</v>
      </c>
    </row>
    <row r="269" spans="2:4">
      <c r="B269" s="31" t="s">
        <v>149</v>
      </c>
      <c r="C269" s="31" t="s">
        <v>146</v>
      </c>
      <c r="D269" s="29">
        <v>85536</v>
      </c>
    </row>
    <row r="270" spans="2:4">
      <c r="B270" s="31" t="s">
        <v>149</v>
      </c>
      <c r="C270" s="31" t="s">
        <v>146</v>
      </c>
      <c r="D270" s="31">
        <v>93656</v>
      </c>
    </row>
    <row r="271" spans="2:4">
      <c r="B271" s="31" t="s">
        <v>149</v>
      </c>
      <c r="C271" s="31" t="s">
        <v>146</v>
      </c>
      <c r="D271" s="29">
        <v>98246</v>
      </c>
    </row>
    <row r="272" spans="2:4">
      <c r="B272" s="31" t="s">
        <v>149</v>
      </c>
      <c r="C272" s="31" t="s">
        <v>146</v>
      </c>
      <c r="D272" s="29">
        <v>163127</v>
      </c>
    </row>
    <row r="273" spans="2:4">
      <c r="B273" s="31" t="s">
        <v>149</v>
      </c>
      <c r="C273" s="31" t="s">
        <v>146</v>
      </c>
      <c r="D273" s="29">
        <v>216695</v>
      </c>
    </row>
    <row r="274" spans="2:4">
      <c r="B274" s="31" t="s">
        <v>147</v>
      </c>
      <c r="C274" s="31" t="s">
        <v>152</v>
      </c>
      <c r="D274" s="29">
        <v>-11610</v>
      </c>
    </row>
    <row r="275" spans="2:4">
      <c r="B275" s="31" t="s">
        <v>147</v>
      </c>
      <c r="C275" s="31" t="s">
        <v>152</v>
      </c>
      <c r="D275" s="29">
        <v>48808</v>
      </c>
    </row>
    <row r="276" spans="2:4">
      <c r="B276" s="31" t="s">
        <v>147</v>
      </c>
      <c r="C276" s="31" t="s">
        <v>152</v>
      </c>
      <c r="D276" s="29">
        <v>100486</v>
      </c>
    </row>
    <row r="277" spans="2:4">
      <c r="B277" s="31" t="s">
        <v>147</v>
      </c>
      <c r="C277" s="31" t="s">
        <v>152</v>
      </c>
      <c r="D277" s="29">
        <v>111998</v>
      </c>
    </row>
    <row r="278" spans="2:4">
      <c r="B278" s="31" t="s">
        <v>147</v>
      </c>
      <c r="C278" s="31" t="s">
        <v>152</v>
      </c>
      <c r="D278" s="29">
        <v>216458</v>
      </c>
    </row>
    <row r="279" spans="2:4">
      <c r="B279" s="31" t="s">
        <v>147</v>
      </c>
      <c r="C279" s="31" t="s">
        <v>152</v>
      </c>
      <c r="D279" s="29">
        <v>256402</v>
      </c>
    </row>
    <row r="280" spans="2:4">
      <c r="B280" s="31" t="s">
        <v>147</v>
      </c>
      <c r="C280" s="31" t="s">
        <v>148</v>
      </c>
      <c r="D280" s="29">
        <v>1519</v>
      </c>
    </row>
    <row r="281" spans="2:4">
      <c r="B281" s="31" t="s">
        <v>147</v>
      </c>
      <c r="C281" s="31" t="s">
        <v>148</v>
      </c>
      <c r="D281" s="29">
        <v>13328</v>
      </c>
    </row>
    <row r="282" spans="2:4">
      <c r="B282" s="31" t="s">
        <v>147</v>
      </c>
      <c r="C282" s="31" t="s">
        <v>148</v>
      </c>
      <c r="D282" s="29">
        <v>73394</v>
      </c>
    </row>
    <row r="283" spans="2:4">
      <c r="B283" s="31" t="s">
        <v>147</v>
      </c>
      <c r="C283" s="31" t="s">
        <v>148</v>
      </c>
      <c r="D283" s="31">
        <v>82089</v>
      </c>
    </row>
    <row r="284" spans="2:4">
      <c r="B284" s="31" t="s">
        <v>147</v>
      </c>
      <c r="C284" s="31" t="s">
        <v>148</v>
      </c>
      <c r="D284" s="29">
        <v>185869</v>
      </c>
    </row>
    <row r="285" spans="2:4">
      <c r="B285" s="31" t="s">
        <v>147</v>
      </c>
      <c r="C285" s="31" t="s">
        <v>144</v>
      </c>
      <c r="D285" s="29">
        <v>1365</v>
      </c>
    </row>
    <row r="286" spans="2:4">
      <c r="B286" s="31" t="s">
        <v>147</v>
      </c>
      <c r="C286" s="31" t="s">
        <v>144</v>
      </c>
      <c r="D286" s="29">
        <v>6845</v>
      </c>
    </row>
    <row r="287" spans="2:4">
      <c r="B287" s="31" t="s">
        <v>147</v>
      </c>
      <c r="C287" s="31" t="s">
        <v>144</v>
      </c>
      <c r="D287" s="31">
        <v>17711</v>
      </c>
    </row>
    <row r="288" spans="2:4">
      <c r="B288" s="31" t="s">
        <v>147</v>
      </c>
      <c r="C288" s="31" t="s">
        <v>144</v>
      </c>
      <c r="D288" s="29">
        <v>39973</v>
      </c>
    </row>
    <row r="289" spans="2:4">
      <c r="B289" s="31" t="s">
        <v>147</v>
      </c>
      <c r="C289" s="31" t="s">
        <v>144</v>
      </c>
      <c r="D289" s="29">
        <v>102572</v>
      </c>
    </row>
    <row r="290" spans="2:4">
      <c r="B290" s="31" t="s">
        <v>147</v>
      </c>
      <c r="C290" s="31" t="s">
        <v>144</v>
      </c>
      <c r="D290" s="29">
        <v>121986</v>
      </c>
    </row>
    <row r="291" spans="2:4">
      <c r="B291" s="31" t="s">
        <v>147</v>
      </c>
      <c r="C291" s="31" t="s">
        <v>144</v>
      </c>
      <c r="D291" s="29">
        <v>132363</v>
      </c>
    </row>
    <row r="292" spans="2:4">
      <c r="B292" s="31" t="s">
        <v>147</v>
      </c>
      <c r="C292" s="31" t="s">
        <v>144</v>
      </c>
      <c r="D292" s="29">
        <v>160752</v>
      </c>
    </row>
    <row r="293" spans="2:4">
      <c r="B293" s="31" t="s">
        <v>147</v>
      </c>
      <c r="C293" s="31" t="s">
        <v>151</v>
      </c>
      <c r="D293" s="29">
        <v>7298</v>
      </c>
    </row>
    <row r="294" spans="2:4">
      <c r="B294" s="31" t="s">
        <v>147</v>
      </c>
      <c r="C294" s="31" t="s">
        <v>151</v>
      </c>
      <c r="D294" s="29">
        <v>11238</v>
      </c>
    </row>
    <row r="295" spans="2:4">
      <c r="B295" s="31" t="s">
        <v>147</v>
      </c>
      <c r="C295" s="31" t="s">
        <v>151</v>
      </c>
      <c r="D295" s="31">
        <v>27542</v>
      </c>
    </row>
    <row r="296" spans="2:4">
      <c r="B296" s="31" t="s">
        <v>147</v>
      </c>
      <c r="C296" s="31" t="s">
        <v>151</v>
      </c>
      <c r="D296" s="29">
        <v>33876</v>
      </c>
    </row>
    <row r="297" spans="2:4">
      <c r="B297" s="31" t="s">
        <v>147</v>
      </c>
      <c r="C297" s="31" t="s">
        <v>151</v>
      </c>
      <c r="D297" s="29">
        <v>39494</v>
      </c>
    </row>
    <row r="298" spans="2:4">
      <c r="B298" s="31" t="s">
        <v>147</v>
      </c>
      <c r="C298" s="31" t="s">
        <v>151</v>
      </c>
      <c r="D298" s="29">
        <v>96983</v>
      </c>
    </row>
    <row r="299" spans="2:4">
      <c r="B299" s="31" t="s">
        <v>147</v>
      </c>
      <c r="C299" s="31" t="s">
        <v>151</v>
      </c>
      <c r="D299" s="29">
        <v>130437</v>
      </c>
    </row>
    <row r="300" spans="2:4">
      <c r="B300" s="31" t="s">
        <v>147</v>
      </c>
      <c r="C300" s="31" t="s">
        <v>151</v>
      </c>
      <c r="D300" s="31">
        <v>149617</v>
      </c>
    </row>
    <row r="301" spans="2:4">
      <c r="B301" s="31" t="s">
        <v>147</v>
      </c>
      <c r="C301" s="31" t="s">
        <v>151</v>
      </c>
      <c r="D301" s="31">
        <v>166353</v>
      </c>
    </row>
    <row r="302" spans="2:4">
      <c r="B302" s="31" t="s">
        <v>147</v>
      </c>
      <c r="C302" s="31" t="s">
        <v>151</v>
      </c>
      <c r="D302" s="29">
        <v>219774</v>
      </c>
    </row>
    <row r="303" spans="2:4">
      <c r="B303" s="31" t="s">
        <v>147</v>
      </c>
      <c r="C303" s="31" t="s">
        <v>151</v>
      </c>
      <c r="D303" s="29">
        <v>226327</v>
      </c>
    </row>
    <row r="304" spans="2:4">
      <c r="B304" s="31" t="s">
        <v>147</v>
      </c>
      <c r="C304" s="31" t="s">
        <v>151</v>
      </c>
      <c r="D304" s="29">
        <v>239368</v>
      </c>
    </row>
    <row r="305" spans="2:4">
      <c r="B305" s="31" t="s">
        <v>147</v>
      </c>
      <c r="C305" s="31" t="s">
        <v>151</v>
      </c>
      <c r="D305" s="31">
        <v>244677</v>
      </c>
    </row>
    <row r="306" spans="2:4">
      <c r="B306" s="31" t="s">
        <v>147</v>
      </c>
      <c r="C306" s="31" t="s">
        <v>146</v>
      </c>
      <c r="D306" s="29">
        <v>8675</v>
      </c>
    </row>
    <row r="307" spans="2:4">
      <c r="B307" s="31" t="s">
        <v>147</v>
      </c>
      <c r="C307" s="31" t="s">
        <v>146</v>
      </c>
      <c r="D307" s="29">
        <v>12156</v>
      </c>
    </row>
    <row r="308" spans="2:4">
      <c r="B308" s="31" t="s">
        <v>147</v>
      </c>
      <c r="C308" s="31" t="s">
        <v>146</v>
      </c>
      <c r="D308" s="29">
        <v>60882</v>
      </c>
    </row>
    <row r="309" spans="2:4">
      <c r="B309" s="31" t="s">
        <v>147</v>
      </c>
      <c r="C309" s="31" t="s">
        <v>146</v>
      </c>
      <c r="D309" s="29">
        <v>110965</v>
      </c>
    </row>
    <row r="310" spans="2:4">
      <c r="B310" s="31" t="s">
        <v>147</v>
      </c>
      <c r="C310" s="31" t="s">
        <v>146</v>
      </c>
      <c r="D310" s="29">
        <v>125616</v>
      </c>
    </row>
    <row r="311" spans="2:4">
      <c r="B311" s="31" t="s">
        <v>147</v>
      </c>
      <c r="C311" s="31" t="s">
        <v>146</v>
      </c>
      <c r="D311" s="29">
        <v>152076</v>
      </c>
    </row>
    <row r="312" spans="2:4">
      <c r="B312" s="31" t="s">
        <v>147</v>
      </c>
      <c r="C312" s="31" t="s">
        <v>146</v>
      </c>
      <c r="D312" s="29">
        <v>174302</v>
      </c>
    </row>
    <row r="313" spans="2:4">
      <c r="B313" s="31" t="s">
        <v>147</v>
      </c>
      <c r="C313" s="31" t="s">
        <v>146</v>
      </c>
      <c r="D313" s="29">
        <v>175018</v>
      </c>
    </row>
    <row r="314" spans="2:4">
      <c r="B314" s="31" t="s">
        <v>147</v>
      </c>
      <c r="C314" s="31" t="s">
        <v>146</v>
      </c>
      <c r="D314" s="29">
        <v>221658</v>
      </c>
    </row>
    <row r="315" spans="2:4">
      <c r="B315" s="31" t="s">
        <v>147</v>
      </c>
      <c r="C315" s="31" t="s">
        <v>146</v>
      </c>
      <c r="D315" s="29">
        <v>245470</v>
      </c>
    </row>
    <row r="316" spans="2:4">
      <c r="B316" s="31" t="s">
        <v>147</v>
      </c>
      <c r="C316" s="31" t="s">
        <v>146</v>
      </c>
      <c r="D316" s="29">
        <v>248756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EE51-4927-414C-944C-5770B2750D71}">
  <dimension ref="C1:G998"/>
  <sheetViews>
    <sheetView workbookViewId="0">
      <selection activeCell="T20" sqref="T20"/>
    </sheetView>
  </sheetViews>
  <sheetFormatPr defaultColWidth="14.44140625" defaultRowHeight="15" customHeight="1"/>
  <cols>
    <col min="1" max="3" width="8.6640625" style="28" customWidth="1"/>
    <col min="4" max="4" width="14.88671875" style="28" customWidth="1"/>
    <col min="5" max="5" width="21.5546875" style="28" customWidth="1"/>
    <col min="6" max="6" width="10.33203125" style="28" customWidth="1"/>
    <col min="7" max="26" width="8.6640625" style="28" customWidth="1"/>
    <col min="27" max="16384" width="14.44140625" style="28"/>
  </cols>
  <sheetData>
    <row r="1" spans="3:7" ht="14.25" customHeight="1"/>
    <row r="2" spans="3:7" ht="14.25" customHeight="1">
      <c r="C2" s="32" t="s">
        <v>163</v>
      </c>
    </row>
    <row r="3" spans="3:7" ht="14.25" customHeight="1">
      <c r="C3" s="32" t="s">
        <v>162</v>
      </c>
    </row>
    <row r="4" spans="3:7" ht="14.25" customHeight="1">
      <c r="C4" s="32" t="s">
        <v>161</v>
      </c>
    </row>
    <row r="5" spans="3:7" ht="14.25" customHeight="1"/>
    <row r="6" spans="3:7" ht="14.25" customHeight="1">
      <c r="C6" s="29" t="s">
        <v>158</v>
      </c>
      <c r="D6" s="31" t="s">
        <v>157</v>
      </c>
      <c r="E6" s="31" t="s">
        <v>156</v>
      </c>
      <c r="F6" s="33" t="s">
        <v>155</v>
      </c>
      <c r="G6" s="31" t="s">
        <v>154</v>
      </c>
    </row>
    <row r="7" spans="3:7" ht="14.25" customHeight="1">
      <c r="C7" s="29">
        <v>1</v>
      </c>
      <c r="D7" s="31" t="s">
        <v>153</v>
      </c>
      <c r="E7" s="31" t="s">
        <v>151</v>
      </c>
      <c r="F7" s="30">
        <v>44348</v>
      </c>
      <c r="G7" s="31">
        <v>108879</v>
      </c>
    </row>
    <row r="8" spans="3:7" ht="14.25" customHeight="1">
      <c r="C8" s="29">
        <v>2</v>
      </c>
      <c r="D8" s="31" t="s">
        <v>153</v>
      </c>
      <c r="E8" s="31" t="s">
        <v>148</v>
      </c>
      <c r="F8" s="30">
        <v>44470</v>
      </c>
      <c r="G8" s="31">
        <v>165656</v>
      </c>
    </row>
    <row r="9" spans="3:7" ht="14.25" customHeight="1">
      <c r="C9" s="29">
        <v>3</v>
      </c>
      <c r="D9" s="31" t="s">
        <v>153</v>
      </c>
      <c r="E9" s="31" t="s">
        <v>148</v>
      </c>
      <c r="F9" s="30">
        <v>44256</v>
      </c>
      <c r="G9" s="31">
        <v>25467</v>
      </c>
    </row>
    <row r="10" spans="3:7" ht="14.25" customHeight="1">
      <c r="C10" s="29">
        <v>4</v>
      </c>
      <c r="D10" s="31" t="s">
        <v>153</v>
      </c>
      <c r="E10" s="31" t="s">
        <v>144</v>
      </c>
      <c r="F10" s="30">
        <v>44256</v>
      </c>
      <c r="G10" s="31">
        <v>16452</v>
      </c>
    </row>
    <row r="11" spans="3:7" ht="14.25" customHeight="1">
      <c r="C11" s="29">
        <v>5</v>
      </c>
      <c r="D11" s="31" t="s">
        <v>153</v>
      </c>
      <c r="E11" s="31" t="s">
        <v>148</v>
      </c>
      <c r="F11" s="30">
        <v>44440</v>
      </c>
      <c r="G11" s="31">
        <v>135801</v>
      </c>
    </row>
    <row r="12" spans="3:7" ht="14.25" customHeight="1">
      <c r="C12" s="29">
        <v>6</v>
      </c>
      <c r="D12" s="31" t="s">
        <v>153</v>
      </c>
      <c r="E12" s="31" t="s">
        <v>144</v>
      </c>
      <c r="F12" s="30">
        <v>44348</v>
      </c>
      <c r="G12" s="31">
        <v>247286</v>
      </c>
    </row>
    <row r="13" spans="3:7" ht="14.25" customHeight="1">
      <c r="C13" s="29">
        <v>7</v>
      </c>
      <c r="D13" s="31" t="s">
        <v>153</v>
      </c>
      <c r="E13" s="31" t="s">
        <v>146</v>
      </c>
      <c r="F13" s="30">
        <v>44287</v>
      </c>
      <c r="G13" s="31">
        <v>191293</v>
      </c>
    </row>
    <row r="14" spans="3:7" ht="14.25" customHeight="1">
      <c r="C14" s="29">
        <v>8</v>
      </c>
      <c r="D14" s="31" t="s">
        <v>153</v>
      </c>
      <c r="E14" s="31" t="s">
        <v>152</v>
      </c>
      <c r="F14" s="30">
        <v>44197</v>
      </c>
      <c r="G14" s="31">
        <v>36125</v>
      </c>
    </row>
    <row r="15" spans="3:7" ht="14.25" customHeight="1">
      <c r="C15" s="29">
        <v>9</v>
      </c>
      <c r="D15" s="31" t="s">
        <v>153</v>
      </c>
      <c r="E15" s="31" t="s">
        <v>146</v>
      </c>
      <c r="F15" s="30">
        <v>44197</v>
      </c>
      <c r="G15" s="31">
        <v>123287</v>
      </c>
    </row>
    <row r="16" spans="3:7" ht="14.25" customHeight="1">
      <c r="C16" s="29">
        <v>10</v>
      </c>
      <c r="D16" s="31" t="s">
        <v>153</v>
      </c>
      <c r="E16" s="31" t="s">
        <v>146</v>
      </c>
      <c r="F16" s="30">
        <v>44378</v>
      </c>
      <c r="G16" s="31">
        <v>-34980</v>
      </c>
    </row>
    <row r="17" spans="3:7" ht="14.25" customHeight="1">
      <c r="C17" s="29">
        <v>11</v>
      </c>
      <c r="D17" s="31" t="s">
        <v>153</v>
      </c>
      <c r="E17" s="31" t="s">
        <v>144</v>
      </c>
      <c r="F17" s="30">
        <v>44317</v>
      </c>
      <c r="G17" s="31">
        <v>72086</v>
      </c>
    </row>
    <row r="18" spans="3:7" ht="14.25" customHeight="1">
      <c r="C18" s="29">
        <v>12</v>
      </c>
      <c r="D18" s="31" t="s">
        <v>153</v>
      </c>
      <c r="E18" s="31" t="s">
        <v>146</v>
      </c>
      <c r="F18" s="30">
        <v>44470</v>
      </c>
      <c r="G18" s="31">
        <v>84660</v>
      </c>
    </row>
    <row r="19" spans="3:7" ht="14.25" customHeight="1">
      <c r="C19" s="29">
        <v>13</v>
      </c>
      <c r="D19" s="31" t="s">
        <v>153</v>
      </c>
      <c r="E19" s="31" t="s">
        <v>148</v>
      </c>
      <c r="F19" s="30">
        <v>44531</v>
      </c>
      <c r="G19" s="31">
        <v>201069</v>
      </c>
    </row>
    <row r="20" spans="3:7" ht="14.25" customHeight="1">
      <c r="C20" s="29">
        <v>14</v>
      </c>
      <c r="D20" s="31" t="s">
        <v>153</v>
      </c>
      <c r="E20" s="31" t="s">
        <v>146</v>
      </c>
      <c r="F20" s="30">
        <v>44531</v>
      </c>
      <c r="G20" s="31">
        <v>74221</v>
      </c>
    </row>
    <row r="21" spans="3:7" ht="14.25" customHeight="1">
      <c r="C21" s="29">
        <v>15</v>
      </c>
      <c r="D21" s="31" t="s">
        <v>153</v>
      </c>
      <c r="E21" s="31" t="s">
        <v>144</v>
      </c>
      <c r="F21" s="30">
        <v>44348</v>
      </c>
      <c r="G21" s="31">
        <v>155904</v>
      </c>
    </row>
    <row r="22" spans="3:7" ht="14.25" customHeight="1">
      <c r="C22" s="29">
        <v>16</v>
      </c>
      <c r="D22" s="31" t="s">
        <v>153</v>
      </c>
      <c r="E22" s="31" t="s">
        <v>151</v>
      </c>
      <c r="F22" s="30">
        <v>44470</v>
      </c>
      <c r="G22" s="31">
        <v>-37886</v>
      </c>
    </row>
    <row r="23" spans="3:7" ht="14.25" customHeight="1">
      <c r="C23" s="29">
        <v>17</v>
      </c>
      <c r="D23" s="31" t="s">
        <v>153</v>
      </c>
      <c r="E23" s="31" t="s">
        <v>144</v>
      </c>
      <c r="F23" s="30">
        <v>44531</v>
      </c>
      <c r="G23" s="31">
        <v>169991</v>
      </c>
    </row>
    <row r="24" spans="3:7" ht="14.25" customHeight="1">
      <c r="C24" s="29">
        <v>18</v>
      </c>
      <c r="D24" s="31" t="s">
        <v>153</v>
      </c>
      <c r="E24" s="31" t="s">
        <v>146</v>
      </c>
      <c r="F24" s="30">
        <v>44501</v>
      </c>
      <c r="G24" s="31">
        <v>207031</v>
      </c>
    </row>
    <row r="25" spans="3:7" ht="14.25" customHeight="1">
      <c r="C25" s="29">
        <v>19</v>
      </c>
      <c r="D25" s="31" t="s">
        <v>153</v>
      </c>
      <c r="E25" s="31" t="s">
        <v>151</v>
      </c>
      <c r="F25" s="30">
        <v>44501</v>
      </c>
      <c r="G25" s="31">
        <v>39668</v>
      </c>
    </row>
    <row r="26" spans="3:7" ht="14.25" customHeight="1">
      <c r="C26" s="29">
        <v>20</v>
      </c>
      <c r="D26" s="31" t="s">
        <v>153</v>
      </c>
      <c r="E26" s="31" t="s">
        <v>152</v>
      </c>
      <c r="F26" s="30">
        <v>44228</v>
      </c>
      <c r="G26" s="31">
        <v>180474</v>
      </c>
    </row>
    <row r="27" spans="3:7" ht="14.25" customHeight="1">
      <c r="C27" s="29">
        <v>21</v>
      </c>
      <c r="D27" s="31" t="s">
        <v>153</v>
      </c>
      <c r="E27" s="31" t="s">
        <v>146</v>
      </c>
      <c r="F27" s="30">
        <v>44197</v>
      </c>
      <c r="G27" s="31">
        <v>-7921</v>
      </c>
    </row>
    <row r="28" spans="3:7" ht="14.25" customHeight="1">
      <c r="C28" s="29">
        <v>22</v>
      </c>
      <c r="D28" s="31" t="s">
        <v>149</v>
      </c>
      <c r="E28" s="31" t="s">
        <v>144</v>
      </c>
      <c r="F28" s="30">
        <v>44197</v>
      </c>
      <c r="G28" s="31">
        <v>193122</v>
      </c>
    </row>
    <row r="29" spans="3:7" ht="14.25" customHeight="1">
      <c r="C29" s="29">
        <v>23</v>
      </c>
      <c r="D29" s="31" t="s">
        <v>147</v>
      </c>
      <c r="E29" s="31" t="s">
        <v>151</v>
      </c>
      <c r="F29" s="30">
        <v>44409</v>
      </c>
      <c r="G29" s="31">
        <v>149617</v>
      </c>
    </row>
    <row r="30" spans="3:7" ht="14.25" customHeight="1">
      <c r="C30" s="29">
        <v>24</v>
      </c>
      <c r="D30" s="31" t="s">
        <v>149</v>
      </c>
      <c r="E30" s="31" t="s">
        <v>146</v>
      </c>
      <c r="F30" s="30">
        <v>44470</v>
      </c>
      <c r="G30" s="31">
        <v>93656</v>
      </c>
    </row>
    <row r="31" spans="3:7" ht="14.25" customHeight="1">
      <c r="C31" s="29">
        <v>25</v>
      </c>
      <c r="D31" s="31" t="s">
        <v>150</v>
      </c>
      <c r="E31" s="31" t="s">
        <v>148</v>
      </c>
      <c r="F31" s="30">
        <v>44440</v>
      </c>
      <c r="G31" s="31">
        <v>60921</v>
      </c>
    </row>
    <row r="32" spans="3:7" ht="14.25" customHeight="1">
      <c r="C32" s="29">
        <v>26</v>
      </c>
      <c r="D32" s="31" t="s">
        <v>145</v>
      </c>
      <c r="E32" s="31" t="s">
        <v>148</v>
      </c>
      <c r="F32" s="30">
        <v>44197</v>
      </c>
      <c r="G32" s="31">
        <v>180969</v>
      </c>
    </row>
    <row r="33" spans="3:7" ht="14.25" customHeight="1">
      <c r="C33" s="29">
        <v>27</v>
      </c>
      <c r="D33" s="31" t="s">
        <v>150</v>
      </c>
      <c r="E33" s="31" t="s">
        <v>152</v>
      </c>
      <c r="F33" s="30">
        <v>44317</v>
      </c>
      <c r="G33" s="31">
        <v>166490</v>
      </c>
    </row>
    <row r="34" spans="3:7" ht="14.25" customHeight="1">
      <c r="C34" s="29">
        <v>28</v>
      </c>
      <c r="D34" s="31" t="s">
        <v>149</v>
      </c>
      <c r="E34" s="31" t="s">
        <v>152</v>
      </c>
      <c r="F34" s="30">
        <v>44378</v>
      </c>
      <c r="G34" s="31">
        <v>12909</v>
      </c>
    </row>
    <row r="35" spans="3:7" ht="14.25" customHeight="1">
      <c r="C35" s="29">
        <v>29</v>
      </c>
      <c r="D35" s="31" t="s">
        <v>150</v>
      </c>
      <c r="E35" s="31" t="s">
        <v>152</v>
      </c>
      <c r="F35" s="30">
        <v>44531</v>
      </c>
      <c r="G35" s="31">
        <v>219249</v>
      </c>
    </row>
    <row r="36" spans="3:7" ht="14.25" customHeight="1">
      <c r="C36" s="29">
        <v>30</v>
      </c>
      <c r="D36" s="31" t="s">
        <v>149</v>
      </c>
      <c r="E36" s="31" t="s">
        <v>152</v>
      </c>
      <c r="F36" s="30">
        <v>44378</v>
      </c>
      <c r="G36" s="31">
        <v>36046</v>
      </c>
    </row>
    <row r="37" spans="3:7" ht="14.25" customHeight="1">
      <c r="C37" s="29">
        <v>31</v>
      </c>
      <c r="D37" s="31" t="s">
        <v>150</v>
      </c>
      <c r="E37" s="31" t="s">
        <v>148</v>
      </c>
      <c r="F37" s="30">
        <v>44409</v>
      </c>
      <c r="G37" s="31">
        <v>87532</v>
      </c>
    </row>
    <row r="38" spans="3:7" ht="14.25" customHeight="1">
      <c r="C38" s="29">
        <v>32</v>
      </c>
      <c r="D38" s="31" t="s">
        <v>147</v>
      </c>
      <c r="E38" s="31" t="s">
        <v>148</v>
      </c>
      <c r="F38" s="30">
        <v>44531</v>
      </c>
      <c r="G38" s="31">
        <v>82089</v>
      </c>
    </row>
    <row r="39" spans="3:7" ht="14.25" customHeight="1">
      <c r="C39" s="29">
        <v>33</v>
      </c>
      <c r="D39" s="31" t="s">
        <v>150</v>
      </c>
      <c r="E39" s="31" t="s">
        <v>151</v>
      </c>
      <c r="F39" s="30">
        <v>44440</v>
      </c>
      <c r="G39" s="31">
        <v>242254</v>
      </c>
    </row>
    <row r="40" spans="3:7" ht="14.25" customHeight="1">
      <c r="C40" s="29">
        <v>34</v>
      </c>
      <c r="D40" s="31" t="s">
        <v>149</v>
      </c>
      <c r="E40" s="31" t="s">
        <v>148</v>
      </c>
      <c r="F40" s="30">
        <v>44378</v>
      </c>
      <c r="G40" s="31">
        <v>57399</v>
      </c>
    </row>
    <row r="41" spans="3:7" ht="14.25" customHeight="1">
      <c r="C41" s="29">
        <v>35</v>
      </c>
      <c r="D41" s="31" t="s">
        <v>147</v>
      </c>
      <c r="E41" s="31" t="s">
        <v>151</v>
      </c>
      <c r="F41" s="30">
        <v>44197</v>
      </c>
      <c r="G41" s="31">
        <v>244677</v>
      </c>
    </row>
    <row r="42" spans="3:7" ht="14.25" customHeight="1">
      <c r="C42" s="29">
        <v>36</v>
      </c>
      <c r="D42" s="31" t="s">
        <v>150</v>
      </c>
      <c r="E42" s="31" t="s">
        <v>152</v>
      </c>
      <c r="F42" s="30">
        <v>44409</v>
      </c>
      <c r="G42" s="31">
        <v>55010</v>
      </c>
    </row>
    <row r="43" spans="3:7" ht="14.25" customHeight="1">
      <c r="C43" s="29">
        <v>37</v>
      </c>
      <c r="D43" s="31" t="s">
        <v>150</v>
      </c>
      <c r="E43" s="31" t="s">
        <v>146</v>
      </c>
      <c r="F43" s="30">
        <v>44531</v>
      </c>
      <c r="G43" s="31">
        <v>142874</v>
      </c>
    </row>
    <row r="44" spans="3:7" ht="14.25" customHeight="1">
      <c r="C44" s="29">
        <v>38</v>
      </c>
      <c r="D44" s="31" t="s">
        <v>147</v>
      </c>
      <c r="E44" s="31" t="s">
        <v>151</v>
      </c>
      <c r="F44" s="30">
        <v>44531</v>
      </c>
      <c r="G44" s="31">
        <v>166353</v>
      </c>
    </row>
    <row r="45" spans="3:7" ht="14.25" customHeight="1">
      <c r="C45" s="29">
        <v>39</v>
      </c>
      <c r="D45" s="31" t="s">
        <v>149</v>
      </c>
      <c r="E45" s="31" t="s">
        <v>152</v>
      </c>
      <c r="F45" s="30">
        <v>44531</v>
      </c>
      <c r="G45" s="31">
        <v>47888</v>
      </c>
    </row>
    <row r="46" spans="3:7" ht="14.25" customHeight="1">
      <c r="C46" s="29">
        <v>40</v>
      </c>
      <c r="D46" s="31" t="s">
        <v>145</v>
      </c>
      <c r="E46" s="31" t="s">
        <v>151</v>
      </c>
      <c r="F46" s="30">
        <v>44409</v>
      </c>
      <c r="G46" s="31">
        <v>86220</v>
      </c>
    </row>
    <row r="47" spans="3:7" ht="14.25" customHeight="1">
      <c r="C47" s="29">
        <v>41</v>
      </c>
      <c r="D47" s="31" t="s">
        <v>147</v>
      </c>
      <c r="E47" s="31" t="s">
        <v>151</v>
      </c>
      <c r="F47" s="30">
        <v>44287</v>
      </c>
      <c r="G47" s="31">
        <v>27542</v>
      </c>
    </row>
    <row r="48" spans="3:7" ht="14.25" customHeight="1">
      <c r="C48" s="29">
        <v>42</v>
      </c>
      <c r="D48" s="31" t="s">
        <v>145</v>
      </c>
      <c r="E48" s="31" t="s">
        <v>151</v>
      </c>
      <c r="F48" s="30">
        <v>44287</v>
      </c>
      <c r="G48" s="31">
        <v>173199</v>
      </c>
    </row>
    <row r="49" spans="3:7" ht="14.25" customHeight="1">
      <c r="C49" s="29">
        <v>43</v>
      </c>
      <c r="D49" s="31" t="s">
        <v>147</v>
      </c>
      <c r="E49" s="31" t="s">
        <v>144</v>
      </c>
      <c r="F49" s="30">
        <v>44409</v>
      </c>
      <c r="G49" s="31">
        <v>17711</v>
      </c>
    </row>
    <row r="50" spans="3:7" ht="14.25" customHeight="1">
      <c r="C50" s="29">
        <v>44</v>
      </c>
      <c r="D50" s="31" t="s">
        <v>150</v>
      </c>
      <c r="E50" s="31" t="s">
        <v>151</v>
      </c>
      <c r="F50" s="30">
        <v>44470</v>
      </c>
      <c r="G50" s="31">
        <v>18670</v>
      </c>
    </row>
    <row r="51" spans="3:7" ht="14.25" customHeight="1">
      <c r="C51" s="29">
        <v>45</v>
      </c>
      <c r="D51" s="31" t="s">
        <v>150</v>
      </c>
      <c r="E51" s="31" t="s">
        <v>144</v>
      </c>
      <c r="F51" s="30">
        <v>44256</v>
      </c>
      <c r="G51" s="31">
        <v>87460</v>
      </c>
    </row>
    <row r="52" spans="3:7" ht="14.25" customHeight="1">
      <c r="C52" s="29">
        <v>46</v>
      </c>
      <c r="D52" s="31" t="s">
        <v>150</v>
      </c>
      <c r="E52" s="31" t="s">
        <v>152</v>
      </c>
      <c r="F52" s="30">
        <v>44348</v>
      </c>
      <c r="G52" s="31">
        <v>17043</v>
      </c>
    </row>
    <row r="53" spans="3:7" ht="14.25" customHeight="1">
      <c r="C53" s="29">
        <v>47</v>
      </c>
      <c r="D53" s="31" t="s">
        <v>153</v>
      </c>
      <c r="E53" s="31" t="s">
        <v>148</v>
      </c>
      <c r="F53" s="30">
        <v>44197</v>
      </c>
      <c r="G53" s="29">
        <v>48442</v>
      </c>
    </row>
    <row r="54" spans="3:7" ht="14.25" customHeight="1">
      <c r="C54" s="29">
        <v>48</v>
      </c>
      <c r="D54" s="31" t="s">
        <v>153</v>
      </c>
      <c r="E54" s="31" t="s">
        <v>146</v>
      </c>
      <c r="F54" s="30">
        <v>44287</v>
      </c>
      <c r="G54" s="29">
        <v>175220</v>
      </c>
    </row>
    <row r="55" spans="3:7" ht="14.25" customHeight="1">
      <c r="C55" s="29">
        <v>49</v>
      </c>
      <c r="D55" s="31" t="s">
        <v>153</v>
      </c>
      <c r="E55" s="31" t="s">
        <v>148</v>
      </c>
      <c r="F55" s="30">
        <v>44501</v>
      </c>
      <c r="G55" s="29">
        <v>146394</v>
      </c>
    </row>
    <row r="56" spans="3:7" ht="14.25" customHeight="1">
      <c r="C56" s="29">
        <v>50</v>
      </c>
      <c r="D56" s="31" t="s">
        <v>153</v>
      </c>
      <c r="E56" s="31" t="s">
        <v>144</v>
      </c>
      <c r="F56" s="30">
        <v>44531</v>
      </c>
      <c r="G56" s="29">
        <v>158679</v>
      </c>
    </row>
    <row r="57" spans="3:7" ht="14.25" customHeight="1">
      <c r="C57" s="29">
        <v>51</v>
      </c>
      <c r="D57" s="31" t="s">
        <v>153</v>
      </c>
      <c r="E57" s="31" t="s">
        <v>152</v>
      </c>
      <c r="F57" s="30">
        <v>44501</v>
      </c>
      <c r="G57" s="29">
        <v>86186</v>
      </c>
    </row>
    <row r="58" spans="3:7" ht="14.25" customHeight="1">
      <c r="C58" s="29">
        <v>52</v>
      </c>
      <c r="D58" s="31" t="s">
        <v>153</v>
      </c>
      <c r="E58" s="31" t="s">
        <v>146</v>
      </c>
      <c r="F58" s="30">
        <v>44378</v>
      </c>
      <c r="G58" s="29">
        <v>5850</v>
      </c>
    </row>
    <row r="59" spans="3:7" ht="14.25" customHeight="1">
      <c r="C59" s="29">
        <v>53</v>
      </c>
      <c r="D59" s="31" t="s">
        <v>153</v>
      </c>
      <c r="E59" s="31" t="s">
        <v>146</v>
      </c>
      <c r="F59" s="30">
        <v>44348</v>
      </c>
      <c r="G59" s="29">
        <v>-15140</v>
      </c>
    </row>
    <row r="60" spans="3:7" ht="14.25" customHeight="1">
      <c r="C60" s="29">
        <v>54</v>
      </c>
      <c r="D60" s="31" t="s">
        <v>153</v>
      </c>
      <c r="E60" s="31" t="s">
        <v>151</v>
      </c>
      <c r="F60" s="30">
        <v>44348</v>
      </c>
      <c r="G60" s="29">
        <v>190517</v>
      </c>
    </row>
    <row r="61" spans="3:7" ht="14.25" customHeight="1">
      <c r="C61" s="29">
        <v>55</v>
      </c>
      <c r="D61" s="31" t="s">
        <v>153</v>
      </c>
      <c r="E61" s="31" t="s">
        <v>151</v>
      </c>
      <c r="F61" s="30">
        <v>44409</v>
      </c>
      <c r="G61" s="29">
        <v>131983</v>
      </c>
    </row>
    <row r="62" spans="3:7" ht="14.25" customHeight="1">
      <c r="C62" s="29">
        <v>56</v>
      </c>
      <c r="D62" s="31" t="s">
        <v>153</v>
      </c>
      <c r="E62" s="31" t="s">
        <v>148</v>
      </c>
      <c r="F62" s="30">
        <v>44348</v>
      </c>
      <c r="G62" s="29">
        <v>137843</v>
      </c>
    </row>
    <row r="63" spans="3:7" ht="14.25" customHeight="1">
      <c r="C63" s="29">
        <v>57</v>
      </c>
      <c r="D63" s="31" t="s">
        <v>153</v>
      </c>
      <c r="E63" s="31" t="s">
        <v>148</v>
      </c>
      <c r="F63" s="30">
        <v>44378</v>
      </c>
      <c r="G63" s="29">
        <v>96209</v>
      </c>
    </row>
    <row r="64" spans="3:7" ht="14.25" customHeight="1">
      <c r="C64" s="29">
        <v>58</v>
      </c>
      <c r="D64" s="31" t="s">
        <v>153</v>
      </c>
      <c r="E64" s="31" t="s">
        <v>152</v>
      </c>
      <c r="F64" s="30">
        <v>44228</v>
      </c>
      <c r="G64" s="29">
        <v>134977</v>
      </c>
    </row>
    <row r="65" spans="3:7" ht="14.25" customHeight="1">
      <c r="C65" s="29">
        <v>59</v>
      </c>
      <c r="D65" s="31" t="s">
        <v>153</v>
      </c>
      <c r="E65" s="31" t="s">
        <v>152</v>
      </c>
      <c r="F65" s="30">
        <v>44317</v>
      </c>
      <c r="G65" s="29">
        <v>59423</v>
      </c>
    </row>
    <row r="66" spans="3:7" ht="14.25" customHeight="1">
      <c r="C66" s="29">
        <v>60</v>
      </c>
      <c r="D66" s="31" t="s">
        <v>153</v>
      </c>
      <c r="E66" s="31" t="s">
        <v>152</v>
      </c>
      <c r="F66" s="30">
        <v>44348</v>
      </c>
      <c r="G66" s="29">
        <v>32352</v>
      </c>
    </row>
    <row r="67" spans="3:7" ht="14.25" customHeight="1">
      <c r="C67" s="29">
        <v>61</v>
      </c>
      <c r="D67" s="31" t="s">
        <v>153</v>
      </c>
      <c r="E67" s="31" t="s">
        <v>151</v>
      </c>
      <c r="F67" s="30">
        <v>44409</v>
      </c>
      <c r="G67" s="29">
        <v>19225</v>
      </c>
    </row>
    <row r="68" spans="3:7" ht="14.25" customHeight="1">
      <c r="C68" s="29">
        <v>62</v>
      </c>
      <c r="D68" s="31" t="s">
        <v>153</v>
      </c>
      <c r="E68" s="31" t="s">
        <v>151</v>
      </c>
      <c r="F68" s="30">
        <v>44256</v>
      </c>
      <c r="G68" s="29">
        <v>150851</v>
      </c>
    </row>
    <row r="69" spans="3:7" ht="14.25" customHeight="1">
      <c r="C69" s="29">
        <v>63</v>
      </c>
      <c r="D69" s="31" t="s">
        <v>153</v>
      </c>
      <c r="E69" s="31" t="s">
        <v>148</v>
      </c>
      <c r="F69" s="30">
        <v>44348</v>
      </c>
      <c r="G69" s="29">
        <v>7110</v>
      </c>
    </row>
    <row r="70" spans="3:7" ht="14.25" customHeight="1">
      <c r="C70" s="29">
        <v>64</v>
      </c>
      <c r="D70" s="31" t="s">
        <v>153</v>
      </c>
      <c r="E70" s="31" t="s">
        <v>151</v>
      </c>
      <c r="F70" s="30">
        <v>44348</v>
      </c>
      <c r="G70" s="29">
        <v>259896</v>
      </c>
    </row>
    <row r="71" spans="3:7" ht="14.25" customHeight="1">
      <c r="C71" s="29">
        <v>65</v>
      </c>
      <c r="D71" s="31" t="s">
        <v>153</v>
      </c>
      <c r="E71" s="31" t="s">
        <v>152</v>
      </c>
      <c r="F71" s="30">
        <v>44501</v>
      </c>
      <c r="G71" s="29">
        <v>222162</v>
      </c>
    </row>
    <row r="72" spans="3:7" ht="14.25" customHeight="1">
      <c r="C72" s="29">
        <v>66</v>
      </c>
      <c r="D72" s="31" t="s">
        <v>153</v>
      </c>
      <c r="E72" s="31" t="s">
        <v>151</v>
      </c>
      <c r="F72" s="30">
        <v>44470</v>
      </c>
      <c r="G72" s="29">
        <v>5652</v>
      </c>
    </row>
    <row r="73" spans="3:7" ht="14.25" customHeight="1">
      <c r="C73" s="29">
        <v>67</v>
      </c>
      <c r="D73" s="31" t="s">
        <v>153</v>
      </c>
      <c r="E73" s="31" t="s">
        <v>146</v>
      </c>
      <c r="F73" s="30">
        <v>44228</v>
      </c>
      <c r="G73" s="29">
        <v>173392</v>
      </c>
    </row>
    <row r="74" spans="3:7" ht="14.25" customHeight="1">
      <c r="C74" s="29">
        <v>68</v>
      </c>
      <c r="D74" s="31" t="s">
        <v>153</v>
      </c>
      <c r="E74" s="31" t="s">
        <v>151</v>
      </c>
      <c r="F74" s="30">
        <v>44228</v>
      </c>
      <c r="G74" s="29">
        <v>230726</v>
      </c>
    </row>
    <row r="75" spans="3:7" ht="14.25" customHeight="1">
      <c r="C75" s="29">
        <v>69</v>
      </c>
      <c r="D75" s="31" t="s">
        <v>153</v>
      </c>
      <c r="E75" s="31" t="s">
        <v>146</v>
      </c>
      <c r="F75" s="30">
        <v>44470</v>
      </c>
      <c r="G75" s="29">
        <v>154630</v>
      </c>
    </row>
    <row r="76" spans="3:7" ht="14.25" customHeight="1">
      <c r="C76" s="29">
        <v>70</v>
      </c>
      <c r="D76" s="31" t="s">
        <v>153</v>
      </c>
      <c r="E76" s="31" t="s">
        <v>146</v>
      </c>
      <c r="F76" s="30">
        <v>44348</v>
      </c>
      <c r="G76" s="29">
        <v>161165</v>
      </c>
    </row>
    <row r="77" spans="3:7" ht="14.25" customHeight="1">
      <c r="C77" s="29">
        <v>71</v>
      </c>
      <c r="D77" s="31" t="s">
        <v>153</v>
      </c>
      <c r="E77" s="31" t="s">
        <v>144</v>
      </c>
      <c r="F77" s="30">
        <v>44348</v>
      </c>
      <c r="G77" s="29">
        <v>6105</v>
      </c>
    </row>
    <row r="78" spans="3:7" ht="14.25" customHeight="1">
      <c r="C78" s="29">
        <v>72</v>
      </c>
      <c r="D78" s="31" t="s">
        <v>153</v>
      </c>
      <c r="E78" s="31" t="s">
        <v>151</v>
      </c>
      <c r="F78" s="30">
        <v>44256</v>
      </c>
      <c r="G78" s="29">
        <v>34334</v>
      </c>
    </row>
    <row r="79" spans="3:7" ht="14.25" customHeight="1">
      <c r="C79" s="29">
        <v>73</v>
      </c>
      <c r="D79" s="31" t="s">
        <v>153</v>
      </c>
      <c r="E79" s="31" t="s">
        <v>152</v>
      </c>
      <c r="F79" s="30">
        <v>44531</v>
      </c>
      <c r="G79" s="29">
        <v>8406</v>
      </c>
    </row>
    <row r="80" spans="3:7" ht="14.25" customHeight="1">
      <c r="C80" s="29">
        <v>74</v>
      </c>
      <c r="D80" s="31" t="s">
        <v>153</v>
      </c>
      <c r="E80" s="31" t="s">
        <v>152</v>
      </c>
      <c r="F80" s="30">
        <v>44348</v>
      </c>
      <c r="G80" s="29">
        <v>27137</v>
      </c>
    </row>
    <row r="81" spans="3:7" ht="14.25" customHeight="1">
      <c r="C81" s="29">
        <v>75</v>
      </c>
      <c r="D81" s="31" t="s">
        <v>153</v>
      </c>
      <c r="E81" s="31" t="s">
        <v>152</v>
      </c>
      <c r="F81" s="30">
        <v>44378</v>
      </c>
      <c r="G81" s="29">
        <v>7819</v>
      </c>
    </row>
    <row r="82" spans="3:7" ht="14.25" customHeight="1">
      <c r="C82" s="29">
        <v>76</v>
      </c>
      <c r="D82" s="31" t="s">
        <v>153</v>
      </c>
      <c r="E82" s="31" t="s">
        <v>146</v>
      </c>
      <c r="F82" s="30">
        <v>44440</v>
      </c>
      <c r="G82" s="29">
        <v>193691</v>
      </c>
    </row>
    <row r="83" spans="3:7" ht="14.25" customHeight="1">
      <c r="C83" s="29">
        <v>77</v>
      </c>
      <c r="D83" s="31" t="s">
        <v>153</v>
      </c>
      <c r="E83" s="31" t="s">
        <v>146</v>
      </c>
      <c r="F83" s="30">
        <v>44378</v>
      </c>
      <c r="G83" s="29">
        <v>229218</v>
      </c>
    </row>
    <row r="84" spans="3:7" ht="14.25" customHeight="1">
      <c r="C84" s="29">
        <v>78</v>
      </c>
      <c r="D84" s="31" t="s">
        <v>153</v>
      </c>
      <c r="E84" s="31" t="s">
        <v>151</v>
      </c>
      <c r="F84" s="30">
        <v>44317</v>
      </c>
      <c r="G84" s="29">
        <v>82968</v>
      </c>
    </row>
    <row r="85" spans="3:7" ht="14.25" customHeight="1">
      <c r="C85" s="29">
        <v>79</v>
      </c>
      <c r="D85" s="31" t="s">
        <v>153</v>
      </c>
      <c r="E85" s="31" t="s">
        <v>148</v>
      </c>
      <c r="F85" s="30">
        <v>44348</v>
      </c>
      <c r="G85" s="29">
        <v>234786</v>
      </c>
    </row>
    <row r="86" spans="3:7" ht="14.25" customHeight="1">
      <c r="C86" s="29">
        <v>80</v>
      </c>
      <c r="D86" s="31" t="s">
        <v>153</v>
      </c>
      <c r="E86" s="31" t="s">
        <v>146</v>
      </c>
      <c r="F86" s="30">
        <v>44470</v>
      </c>
      <c r="G86" s="29">
        <v>249705</v>
      </c>
    </row>
    <row r="87" spans="3:7" ht="14.25" customHeight="1">
      <c r="C87" s="29">
        <v>81</v>
      </c>
      <c r="D87" s="31" t="s">
        <v>149</v>
      </c>
      <c r="E87" s="31" t="s">
        <v>144</v>
      </c>
      <c r="F87" s="30">
        <v>44409</v>
      </c>
      <c r="G87" s="29">
        <v>22746</v>
      </c>
    </row>
    <row r="88" spans="3:7" ht="14.25" customHeight="1">
      <c r="C88" s="29">
        <v>82</v>
      </c>
      <c r="D88" s="31" t="s">
        <v>149</v>
      </c>
      <c r="E88" s="31" t="s">
        <v>146</v>
      </c>
      <c r="F88" s="30">
        <v>44409</v>
      </c>
      <c r="G88" s="29">
        <v>85536</v>
      </c>
    </row>
    <row r="89" spans="3:7" ht="14.25" customHeight="1">
      <c r="C89" s="29">
        <v>83</v>
      </c>
      <c r="D89" s="31" t="s">
        <v>149</v>
      </c>
      <c r="E89" s="31" t="s">
        <v>148</v>
      </c>
      <c r="F89" s="30">
        <v>44501</v>
      </c>
      <c r="G89" s="29">
        <v>25301</v>
      </c>
    </row>
    <row r="90" spans="3:7" ht="14.25" customHeight="1">
      <c r="C90" s="29">
        <v>84</v>
      </c>
      <c r="D90" s="31" t="s">
        <v>150</v>
      </c>
      <c r="E90" s="31" t="s">
        <v>146</v>
      </c>
      <c r="F90" s="30">
        <v>44378</v>
      </c>
      <c r="G90" s="29">
        <v>152936</v>
      </c>
    </row>
    <row r="91" spans="3:7" ht="14.25" customHeight="1">
      <c r="C91" s="29">
        <v>85</v>
      </c>
      <c r="D91" s="31" t="s">
        <v>150</v>
      </c>
      <c r="E91" s="31" t="s">
        <v>146</v>
      </c>
      <c r="F91" s="30">
        <v>44409</v>
      </c>
      <c r="G91" s="29">
        <v>124717</v>
      </c>
    </row>
    <row r="92" spans="3:7" ht="14.25" customHeight="1">
      <c r="C92" s="29">
        <v>86</v>
      </c>
      <c r="D92" s="31" t="s">
        <v>145</v>
      </c>
      <c r="E92" s="31" t="s">
        <v>146</v>
      </c>
      <c r="F92" s="30">
        <v>44531</v>
      </c>
      <c r="G92" s="29">
        <v>198140</v>
      </c>
    </row>
    <row r="93" spans="3:7" ht="14.25" customHeight="1">
      <c r="C93" s="29">
        <v>87</v>
      </c>
      <c r="D93" s="31" t="s">
        <v>145</v>
      </c>
      <c r="E93" s="31" t="s">
        <v>152</v>
      </c>
      <c r="F93" s="30">
        <v>44409</v>
      </c>
      <c r="G93" s="29">
        <v>99343</v>
      </c>
    </row>
    <row r="94" spans="3:7" ht="14.25" customHeight="1">
      <c r="C94" s="29">
        <v>88</v>
      </c>
      <c r="D94" s="31" t="s">
        <v>150</v>
      </c>
      <c r="E94" s="31" t="s">
        <v>146</v>
      </c>
      <c r="F94" s="30">
        <v>44197</v>
      </c>
      <c r="G94" s="29">
        <v>41318</v>
      </c>
    </row>
    <row r="95" spans="3:7" ht="14.25" customHeight="1">
      <c r="C95" s="29">
        <v>89</v>
      </c>
      <c r="D95" s="31" t="s">
        <v>150</v>
      </c>
      <c r="E95" s="31" t="s">
        <v>148</v>
      </c>
      <c r="F95" s="30">
        <v>44501</v>
      </c>
      <c r="G95" s="29">
        <v>211082</v>
      </c>
    </row>
    <row r="96" spans="3:7" ht="14.25" customHeight="1">
      <c r="C96" s="29">
        <v>90</v>
      </c>
      <c r="D96" s="31" t="s">
        <v>147</v>
      </c>
      <c r="E96" s="31" t="s">
        <v>146</v>
      </c>
      <c r="F96" s="30">
        <v>44197</v>
      </c>
      <c r="G96" s="29">
        <v>8675</v>
      </c>
    </row>
    <row r="97" spans="3:7" ht="14.25" customHeight="1">
      <c r="C97" s="29">
        <v>91</v>
      </c>
      <c r="D97" s="31" t="s">
        <v>147</v>
      </c>
      <c r="E97" s="31" t="s">
        <v>144</v>
      </c>
      <c r="F97" s="30">
        <v>44256</v>
      </c>
      <c r="G97" s="29">
        <v>132363</v>
      </c>
    </row>
    <row r="98" spans="3:7" ht="14.25" customHeight="1">
      <c r="C98" s="29">
        <v>92</v>
      </c>
      <c r="D98" s="31" t="s">
        <v>149</v>
      </c>
      <c r="E98" s="31" t="s">
        <v>151</v>
      </c>
      <c r="F98" s="30">
        <v>44531</v>
      </c>
      <c r="G98" s="29">
        <v>130275</v>
      </c>
    </row>
    <row r="99" spans="3:7" ht="14.25" customHeight="1">
      <c r="C99" s="29">
        <v>93</v>
      </c>
      <c r="D99" s="31" t="s">
        <v>147</v>
      </c>
      <c r="E99" s="31" t="s">
        <v>146</v>
      </c>
      <c r="F99" s="30">
        <v>44470</v>
      </c>
      <c r="G99" s="29">
        <v>174302</v>
      </c>
    </row>
    <row r="100" spans="3:7" ht="14.25" customHeight="1">
      <c r="C100" s="29">
        <v>94</v>
      </c>
      <c r="D100" s="31" t="s">
        <v>145</v>
      </c>
      <c r="E100" s="31" t="s">
        <v>144</v>
      </c>
      <c r="F100" s="30">
        <v>44256</v>
      </c>
      <c r="G100" s="29">
        <v>126174</v>
      </c>
    </row>
    <row r="101" spans="3:7" ht="14.25" customHeight="1">
      <c r="C101" s="29">
        <v>95</v>
      </c>
      <c r="D101" s="31" t="s">
        <v>147</v>
      </c>
      <c r="E101" s="31" t="s">
        <v>148</v>
      </c>
      <c r="F101" s="30">
        <v>44470</v>
      </c>
      <c r="G101" s="29">
        <v>13328</v>
      </c>
    </row>
    <row r="102" spans="3:7" ht="14.25" customHeight="1">
      <c r="C102" s="29">
        <v>96</v>
      </c>
      <c r="D102" s="31" t="s">
        <v>147</v>
      </c>
      <c r="E102" s="31" t="s">
        <v>152</v>
      </c>
      <c r="F102" s="30">
        <v>44256</v>
      </c>
      <c r="G102" s="29">
        <v>48808</v>
      </c>
    </row>
    <row r="103" spans="3:7" ht="14.25" customHeight="1">
      <c r="C103" s="29">
        <v>97</v>
      </c>
      <c r="D103" s="31" t="s">
        <v>150</v>
      </c>
      <c r="E103" s="31" t="s">
        <v>148</v>
      </c>
      <c r="F103" s="30">
        <v>44317</v>
      </c>
      <c r="G103" s="29">
        <v>258583</v>
      </c>
    </row>
    <row r="104" spans="3:7" ht="14.25" customHeight="1">
      <c r="C104" s="29">
        <v>98</v>
      </c>
      <c r="D104" s="31" t="s">
        <v>149</v>
      </c>
      <c r="E104" s="31" t="s">
        <v>151</v>
      </c>
      <c r="F104" s="30">
        <v>44228</v>
      </c>
      <c r="G104" s="29">
        <v>33850</v>
      </c>
    </row>
    <row r="105" spans="3:7" ht="14.25" customHeight="1">
      <c r="C105" s="29">
        <v>99</v>
      </c>
      <c r="D105" s="31" t="s">
        <v>149</v>
      </c>
      <c r="E105" s="31" t="s">
        <v>148</v>
      </c>
      <c r="F105" s="30">
        <v>44440</v>
      </c>
      <c r="G105" s="29">
        <v>147727</v>
      </c>
    </row>
    <row r="106" spans="3:7" ht="14.25" customHeight="1">
      <c r="C106" s="29">
        <v>100</v>
      </c>
      <c r="D106" s="31" t="s">
        <v>145</v>
      </c>
      <c r="E106" s="31" t="s">
        <v>148</v>
      </c>
      <c r="F106" s="30">
        <v>44409</v>
      </c>
      <c r="G106" s="29">
        <v>109849</v>
      </c>
    </row>
    <row r="107" spans="3:7" ht="14.25" customHeight="1">
      <c r="C107" s="29">
        <v>101</v>
      </c>
      <c r="D107" s="31" t="s">
        <v>149</v>
      </c>
      <c r="E107" s="31" t="s">
        <v>148</v>
      </c>
      <c r="F107" s="30">
        <v>44470</v>
      </c>
      <c r="G107" s="29">
        <v>231047</v>
      </c>
    </row>
    <row r="108" spans="3:7" ht="14.25" customHeight="1">
      <c r="C108" s="29">
        <v>102</v>
      </c>
      <c r="D108" s="31" t="s">
        <v>150</v>
      </c>
      <c r="E108" s="31" t="s">
        <v>151</v>
      </c>
      <c r="F108" s="30">
        <v>44378</v>
      </c>
      <c r="G108" s="29">
        <v>219148</v>
      </c>
    </row>
    <row r="109" spans="3:7" ht="14.25" customHeight="1">
      <c r="C109" s="29">
        <v>103</v>
      </c>
      <c r="D109" s="31" t="s">
        <v>149</v>
      </c>
      <c r="E109" s="31" t="s">
        <v>152</v>
      </c>
      <c r="F109" s="30">
        <v>44228</v>
      </c>
      <c r="G109" s="29">
        <v>187979</v>
      </c>
    </row>
    <row r="110" spans="3:7" ht="14.25" customHeight="1">
      <c r="C110" s="29">
        <v>104</v>
      </c>
      <c r="D110" s="31" t="s">
        <v>145</v>
      </c>
      <c r="E110" s="31" t="s">
        <v>151</v>
      </c>
      <c r="F110" s="30">
        <v>44348</v>
      </c>
      <c r="G110" s="29">
        <v>91931</v>
      </c>
    </row>
    <row r="111" spans="3:7" ht="14.25" customHeight="1">
      <c r="C111" s="29">
        <v>105</v>
      </c>
      <c r="D111" s="31" t="s">
        <v>147</v>
      </c>
      <c r="E111" s="31" t="s">
        <v>146</v>
      </c>
      <c r="F111" s="30">
        <v>44531</v>
      </c>
      <c r="G111" s="29">
        <v>152076</v>
      </c>
    </row>
    <row r="112" spans="3:7" ht="14.25" customHeight="1">
      <c r="C112" s="29">
        <v>106</v>
      </c>
      <c r="D112" s="31" t="s">
        <v>149</v>
      </c>
      <c r="E112" s="31" t="s">
        <v>151</v>
      </c>
      <c r="F112" s="30">
        <v>44440</v>
      </c>
      <c r="G112" s="29">
        <v>213879</v>
      </c>
    </row>
    <row r="113" spans="3:7" ht="14.25" customHeight="1">
      <c r="C113" s="29">
        <v>107</v>
      </c>
      <c r="D113" s="31" t="s">
        <v>147</v>
      </c>
      <c r="E113" s="31" t="s">
        <v>151</v>
      </c>
      <c r="F113" s="30">
        <v>44228</v>
      </c>
      <c r="G113" s="29">
        <v>7298</v>
      </c>
    </row>
    <row r="114" spans="3:7" ht="14.25" customHeight="1">
      <c r="C114" s="29">
        <v>108</v>
      </c>
      <c r="D114" s="31" t="s">
        <v>149</v>
      </c>
      <c r="E114" s="31" t="s">
        <v>146</v>
      </c>
      <c r="F114" s="30">
        <v>44197</v>
      </c>
      <c r="G114" s="29">
        <v>1661</v>
      </c>
    </row>
    <row r="115" spans="3:7" ht="14.25" customHeight="1">
      <c r="C115" s="29">
        <v>109</v>
      </c>
      <c r="D115" s="31" t="s">
        <v>145</v>
      </c>
      <c r="E115" s="31" t="s">
        <v>151</v>
      </c>
      <c r="F115" s="30">
        <v>44228</v>
      </c>
      <c r="G115" s="29">
        <v>13845</v>
      </c>
    </row>
    <row r="116" spans="3:7" ht="14.25" customHeight="1">
      <c r="C116" s="29">
        <v>110</v>
      </c>
      <c r="D116" s="31" t="s">
        <v>149</v>
      </c>
      <c r="E116" s="31" t="s">
        <v>144</v>
      </c>
      <c r="F116" s="30">
        <v>44501</v>
      </c>
      <c r="G116" s="29">
        <v>188860</v>
      </c>
    </row>
    <row r="117" spans="3:7" ht="14.25" customHeight="1">
      <c r="C117" s="29">
        <v>111</v>
      </c>
      <c r="D117" s="31" t="s">
        <v>145</v>
      </c>
      <c r="E117" s="31" t="s">
        <v>144</v>
      </c>
      <c r="F117" s="30">
        <v>44378</v>
      </c>
      <c r="G117" s="29">
        <v>36547</v>
      </c>
    </row>
    <row r="118" spans="3:7" ht="14.25" customHeight="1">
      <c r="C118" s="29">
        <v>112</v>
      </c>
      <c r="D118" s="31" t="s">
        <v>147</v>
      </c>
      <c r="E118" s="31" t="s">
        <v>146</v>
      </c>
      <c r="F118" s="30">
        <v>44531</v>
      </c>
      <c r="G118" s="29">
        <v>60882</v>
      </c>
    </row>
    <row r="119" spans="3:7" ht="14.25" customHeight="1">
      <c r="C119" s="29">
        <v>113</v>
      </c>
      <c r="D119" s="31" t="s">
        <v>145</v>
      </c>
      <c r="E119" s="31" t="s">
        <v>148</v>
      </c>
      <c r="F119" s="30">
        <v>44378</v>
      </c>
      <c r="G119" s="29">
        <v>26819</v>
      </c>
    </row>
    <row r="120" spans="3:7" ht="14.25" customHeight="1">
      <c r="C120" s="29">
        <v>114</v>
      </c>
      <c r="D120" s="31" t="s">
        <v>149</v>
      </c>
      <c r="E120" s="31" t="s">
        <v>148</v>
      </c>
      <c r="F120" s="30">
        <v>44348</v>
      </c>
      <c r="G120" s="29">
        <v>139728</v>
      </c>
    </row>
    <row r="121" spans="3:7" ht="14.25" customHeight="1">
      <c r="C121" s="29">
        <v>115</v>
      </c>
      <c r="D121" s="31" t="s">
        <v>145</v>
      </c>
      <c r="E121" s="31" t="s">
        <v>144</v>
      </c>
      <c r="F121" s="30">
        <v>44440</v>
      </c>
      <c r="G121" s="29">
        <v>220591</v>
      </c>
    </row>
    <row r="122" spans="3:7" ht="14.25" customHeight="1">
      <c r="C122" s="29">
        <v>116</v>
      </c>
      <c r="D122" s="31" t="s">
        <v>149</v>
      </c>
      <c r="E122" s="31" t="s">
        <v>146</v>
      </c>
      <c r="F122" s="30">
        <v>44348</v>
      </c>
      <c r="G122" s="29">
        <v>216695</v>
      </c>
    </row>
    <row r="123" spans="3:7" ht="14.25" customHeight="1">
      <c r="C123" s="29">
        <v>117</v>
      </c>
      <c r="D123" s="31" t="s">
        <v>145</v>
      </c>
      <c r="E123" s="31" t="s">
        <v>148</v>
      </c>
      <c r="F123" s="30">
        <v>44317</v>
      </c>
      <c r="G123" s="29">
        <v>57755</v>
      </c>
    </row>
    <row r="124" spans="3:7" ht="14.25" customHeight="1">
      <c r="C124" s="29">
        <v>118</v>
      </c>
      <c r="D124" s="31" t="s">
        <v>147</v>
      </c>
      <c r="E124" s="31" t="s">
        <v>144</v>
      </c>
      <c r="F124" s="30">
        <v>44409</v>
      </c>
      <c r="G124" s="29">
        <v>102572</v>
      </c>
    </row>
    <row r="125" spans="3:7" ht="14.25" customHeight="1">
      <c r="C125" s="29">
        <v>119</v>
      </c>
      <c r="D125" s="31" t="s">
        <v>149</v>
      </c>
      <c r="E125" s="31" t="s">
        <v>152</v>
      </c>
      <c r="F125" s="30">
        <v>44409</v>
      </c>
      <c r="G125" s="29">
        <v>229197</v>
      </c>
    </row>
    <row r="126" spans="3:7" ht="14.25" customHeight="1">
      <c r="C126" s="29">
        <v>120</v>
      </c>
      <c r="D126" s="31" t="s">
        <v>145</v>
      </c>
      <c r="E126" s="31" t="s">
        <v>144</v>
      </c>
      <c r="F126" s="30">
        <v>44409</v>
      </c>
      <c r="G126" s="29">
        <v>19002</v>
      </c>
    </row>
    <row r="127" spans="3:7" ht="14.25" customHeight="1">
      <c r="C127" s="29">
        <v>121</v>
      </c>
      <c r="D127" s="31" t="s">
        <v>153</v>
      </c>
      <c r="E127" s="31" t="s">
        <v>151</v>
      </c>
      <c r="F127" s="30">
        <v>44440</v>
      </c>
      <c r="G127" s="29">
        <v>209590</v>
      </c>
    </row>
    <row r="128" spans="3:7" ht="14.25" customHeight="1">
      <c r="C128" s="29">
        <v>122</v>
      </c>
      <c r="D128" s="31" t="s">
        <v>153</v>
      </c>
      <c r="E128" s="31" t="s">
        <v>152</v>
      </c>
      <c r="F128" s="30">
        <v>44531</v>
      </c>
      <c r="G128" s="29">
        <v>135311</v>
      </c>
    </row>
    <row r="129" spans="3:7" ht="14.25" customHeight="1">
      <c r="C129" s="29">
        <v>123</v>
      </c>
      <c r="D129" s="31" t="s">
        <v>153</v>
      </c>
      <c r="E129" s="31" t="s">
        <v>148</v>
      </c>
      <c r="F129" s="30">
        <v>44348</v>
      </c>
      <c r="G129" s="29">
        <v>115261</v>
      </c>
    </row>
    <row r="130" spans="3:7" ht="14.25" customHeight="1">
      <c r="C130" s="29">
        <v>124</v>
      </c>
      <c r="D130" s="31" t="s">
        <v>153</v>
      </c>
      <c r="E130" s="31" t="s">
        <v>151</v>
      </c>
      <c r="F130" s="30">
        <v>44287</v>
      </c>
      <c r="G130" s="29">
        <v>220171</v>
      </c>
    </row>
    <row r="131" spans="3:7" ht="14.25" customHeight="1">
      <c r="C131" s="29">
        <v>125</v>
      </c>
      <c r="D131" s="31" t="s">
        <v>153</v>
      </c>
      <c r="E131" s="31" t="s">
        <v>148</v>
      </c>
      <c r="F131" s="30">
        <v>44531</v>
      </c>
      <c r="G131" s="29">
        <v>9682</v>
      </c>
    </row>
    <row r="132" spans="3:7" ht="14.25" customHeight="1">
      <c r="C132" s="29">
        <v>126</v>
      </c>
      <c r="D132" s="31" t="s">
        <v>153</v>
      </c>
      <c r="E132" s="31" t="s">
        <v>144</v>
      </c>
      <c r="F132" s="30">
        <v>44531</v>
      </c>
      <c r="G132" s="29">
        <v>81048</v>
      </c>
    </row>
    <row r="133" spans="3:7" ht="14.25" customHeight="1">
      <c r="C133" s="29">
        <v>127</v>
      </c>
      <c r="D133" s="31" t="s">
        <v>153</v>
      </c>
      <c r="E133" s="31" t="s">
        <v>152</v>
      </c>
      <c r="F133" s="30">
        <v>44228</v>
      </c>
      <c r="G133" s="29">
        <v>155266</v>
      </c>
    </row>
    <row r="134" spans="3:7" ht="14.25" customHeight="1">
      <c r="C134" s="29">
        <v>128</v>
      </c>
      <c r="D134" s="31" t="s">
        <v>153</v>
      </c>
      <c r="E134" s="31" t="s">
        <v>144</v>
      </c>
      <c r="F134" s="30">
        <v>44317</v>
      </c>
      <c r="G134" s="29">
        <v>24879</v>
      </c>
    </row>
    <row r="135" spans="3:7" ht="14.25" customHeight="1">
      <c r="C135" s="29">
        <v>129</v>
      </c>
      <c r="D135" s="31" t="s">
        <v>153</v>
      </c>
      <c r="E135" s="31" t="s">
        <v>152</v>
      </c>
      <c r="F135" s="30">
        <v>44470</v>
      </c>
      <c r="G135" s="29">
        <v>24838</v>
      </c>
    </row>
    <row r="136" spans="3:7" ht="14.25" customHeight="1">
      <c r="C136" s="29">
        <v>130</v>
      </c>
      <c r="D136" s="31" t="s">
        <v>153</v>
      </c>
      <c r="E136" s="31" t="s">
        <v>152</v>
      </c>
      <c r="F136" s="30">
        <v>44228</v>
      </c>
      <c r="G136" s="29">
        <v>105602</v>
      </c>
    </row>
    <row r="137" spans="3:7" ht="14.25" customHeight="1">
      <c r="C137" s="29">
        <v>131</v>
      </c>
      <c r="D137" s="31" t="s">
        <v>153</v>
      </c>
      <c r="E137" s="31" t="s">
        <v>146</v>
      </c>
      <c r="F137" s="30">
        <v>44287</v>
      </c>
      <c r="G137" s="29">
        <v>214102</v>
      </c>
    </row>
    <row r="138" spans="3:7" ht="14.25" customHeight="1">
      <c r="C138" s="29">
        <v>132</v>
      </c>
      <c r="D138" s="31" t="s">
        <v>153</v>
      </c>
      <c r="E138" s="31" t="s">
        <v>146</v>
      </c>
      <c r="F138" s="30">
        <v>44440</v>
      </c>
      <c r="G138" s="29">
        <v>27327</v>
      </c>
    </row>
    <row r="139" spans="3:7" ht="14.25" customHeight="1">
      <c r="C139" s="29">
        <v>133</v>
      </c>
      <c r="D139" s="31" t="s">
        <v>153</v>
      </c>
      <c r="E139" s="31" t="s">
        <v>148</v>
      </c>
      <c r="F139" s="30">
        <v>44197</v>
      </c>
      <c r="G139" s="29">
        <v>142596</v>
      </c>
    </row>
    <row r="140" spans="3:7" ht="14.25" customHeight="1">
      <c r="C140" s="29">
        <v>134</v>
      </c>
      <c r="D140" s="31" t="s">
        <v>153</v>
      </c>
      <c r="E140" s="31" t="s">
        <v>148</v>
      </c>
      <c r="F140" s="30">
        <v>44348</v>
      </c>
      <c r="G140" s="29">
        <v>165992</v>
      </c>
    </row>
    <row r="141" spans="3:7" ht="14.25" customHeight="1">
      <c r="C141" s="29">
        <v>135</v>
      </c>
      <c r="D141" s="31" t="s">
        <v>153</v>
      </c>
      <c r="E141" s="31" t="s">
        <v>146</v>
      </c>
      <c r="F141" s="30">
        <v>44531</v>
      </c>
      <c r="G141" s="29">
        <v>129328</v>
      </c>
    </row>
    <row r="142" spans="3:7" ht="14.25" customHeight="1">
      <c r="C142" s="29">
        <v>136</v>
      </c>
      <c r="D142" s="31" t="s">
        <v>153</v>
      </c>
      <c r="E142" s="31" t="s">
        <v>151</v>
      </c>
      <c r="F142" s="30">
        <v>44470</v>
      </c>
      <c r="G142" s="29">
        <v>86460</v>
      </c>
    </row>
    <row r="143" spans="3:7" ht="14.25" customHeight="1">
      <c r="C143" s="29">
        <v>137</v>
      </c>
      <c r="D143" s="31" t="s">
        <v>153</v>
      </c>
      <c r="E143" s="31" t="s">
        <v>151</v>
      </c>
      <c r="F143" s="30">
        <v>44228</v>
      </c>
      <c r="G143" s="29">
        <v>22003</v>
      </c>
    </row>
    <row r="144" spans="3:7" ht="14.25" customHeight="1">
      <c r="C144" s="29">
        <v>138</v>
      </c>
      <c r="D144" s="31" t="s">
        <v>153</v>
      </c>
      <c r="E144" s="31" t="s">
        <v>148</v>
      </c>
      <c r="F144" s="30">
        <v>44378</v>
      </c>
      <c r="G144" s="29">
        <v>44394</v>
      </c>
    </row>
    <row r="145" spans="3:7" ht="14.25" customHeight="1">
      <c r="C145" s="29">
        <v>139</v>
      </c>
      <c r="D145" s="31" t="s">
        <v>153</v>
      </c>
      <c r="E145" s="31" t="s">
        <v>151</v>
      </c>
      <c r="F145" s="30">
        <v>44440</v>
      </c>
      <c r="G145" s="29">
        <v>217075</v>
      </c>
    </row>
    <row r="146" spans="3:7" ht="14.25" customHeight="1">
      <c r="C146" s="29">
        <v>140</v>
      </c>
      <c r="D146" s="31" t="s">
        <v>153</v>
      </c>
      <c r="E146" s="31" t="s">
        <v>144</v>
      </c>
      <c r="F146" s="30">
        <v>44228</v>
      </c>
      <c r="G146" s="29">
        <v>56810</v>
      </c>
    </row>
    <row r="147" spans="3:7" ht="14.25" customHeight="1">
      <c r="C147" s="29">
        <v>141</v>
      </c>
      <c r="D147" s="31" t="s">
        <v>153</v>
      </c>
      <c r="E147" s="31" t="s">
        <v>151</v>
      </c>
      <c r="F147" s="30">
        <v>44470</v>
      </c>
      <c r="G147" s="29">
        <v>169915</v>
      </c>
    </row>
    <row r="148" spans="3:7" ht="14.25" customHeight="1">
      <c r="C148" s="29">
        <v>142</v>
      </c>
      <c r="D148" s="31" t="s">
        <v>153</v>
      </c>
      <c r="E148" s="31" t="s">
        <v>152</v>
      </c>
      <c r="F148" s="30">
        <v>44409</v>
      </c>
      <c r="G148" s="29">
        <v>217962</v>
      </c>
    </row>
    <row r="149" spans="3:7" ht="14.25" customHeight="1">
      <c r="C149" s="29">
        <v>143</v>
      </c>
      <c r="D149" s="31" t="s">
        <v>153</v>
      </c>
      <c r="E149" s="31" t="s">
        <v>152</v>
      </c>
      <c r="F149" s="30">
        <v>44317</v>
      </c>
      <c r="G149" s="29">
        <v>166824</v>
      </c>
    </row>
    <row r="150" spans="3:7" ht="14.25" customHeight="1">
      <c r="C150" s="29">
        <v>144</v>
      </c>
      <c r="D150" s="31" t="s">
        <v>153</v>
      </c>
      <c r="E150" s="31" t="s">
        <v>148</v>
      </c>
      <c r="F150" s="30">
        <v>44287</v>
      </c>
      <c r="G150" s="29">
        <v>35096</v>
      </c>
    </row>
    <row r="151" spans="3:7" ht="14.25" customHeight="1">
      <c r="C151" s="29">
        <v>145</v>
      </c>
      <c r="D151" s="31" t="s">
        <v>153</v>
      </c>
      <c r="E151" s="31" t="s">
        <v>152</v>
      </c>
      <c r="F151" s="30">
        <v>44378</v>
      </c>
      <c r="G151" s="29">
        <v>64755</v>
      </c>
    </row>
    <row r="152" spans="3:7" ht="14.25" customHeight="1">
      <c r="C152" s="29">
        <v>146</v>
      </c>
      <c r="D152" s="31" t="s">
        <v>153</v>
      </c>
      <c r="E152" s="31" t="s">
        <v>144</v>
      </c>
      <c r="F152" s="30">
        <v>44317</v>
      </c>
      <c r="G152" s="29">
        <v>8950</v>
      </c>
    </row>
    <row r="153" spans="3:7" ht="14.25" customHeight="1">
      <c r="C153" s="29">
        <v>147</v>
      </c>
      <c r="D153" s="31" t="s">
        <v>153</v>
      </c>
      <c r="E153" s="31" t="s">
        <v>144</v>
      </c>
      <c r="F153" s="30">
        <v>44197</v>
      </c>
      <c r="G153" s="29">
        <v>210209</v>
      </c>
    </row>
    <row r="154" spans="3:7" ht="14.25" customHeight="1">
      <c r="C154" s="29">
        <v>148</v>
      </c>
      <c r="D154" s="31" t="s">
        <v>153</v>
      </c>
      <c r="E154" s="31" t="s">
        <v>151</v>
      </c>
      <c r="F154" s="30">
        <v>44409</v>
      </c>
      <c r="G154" s="29">
        <v>191733</v>
      </c>
    </row>
    <row r="155" spans="3:7" ht="14.25" customHeight="1">
      <c r="C155" s="29">
        <v>149</v>
      </c>
      <c r="D155" s="31" t="s">
        <v>153</v>
      </c>
      <c r="E155" s="31" t="s">
        <v>152</v>
      </c>
      <c r="F155" s="30">
        <v>44287</v>
      </c>
      <c r="G155" s="29">
        <v>137705</v>
      </c>
    </row>
    <row r="156" spans="3:7" ht="14.25" customHeight="1">
      <c r="C156" s="29">
        <v>150</v>
      </c>
      <c r="D156" s="31" t="s">
        <v>153</v>
      </c>
      <c r="E156" s="31" t="s">
        <v>146</v>
      </c>
      <c r="F156" s="30">
        <v>44440</v>
      </c>
      <c r="G156" s="29">
        <v>242971</v>
      </c>
    </row>
    <row r="157" spans="3:7" ht="14.25" customHeight="1">
      <c r="C157" s="29">
        <v>151</v>
      </c>
      <c r="D157" s="31" t="s">
        <v>153</v>
      </c>
      <c r="E157" s="31" t="s">
        <v>148</v>
      </c>
      <c r="F157" s="30">
        <v>44378</v>
      </c>
      <c r="G157" s="29">
        <v>173616</v>
      </c>
    </row>
    <row r="158" spans="3:7" ht="14.25" customHeight="1">
      <c r="C158" s="29">
        <v>152</v>
      </c>
      <c r="D158" s="31" t="s">
        <v>153</v>
      </c>
      <c r="E158" s="31" t="s">
        <v>144</v>
      </c>
      <c r="F158" s="30">
        <v>44228</v>
      </c>
      <c r="G158" s="29">
        <v>168122</v>
      </c>
    </row>
    <row r="159" spans="3:7" ht="14.25" customHeight="1">
      <c r="C159" s="29">
        <v>153</v>
      </c>
      <c r="D159" s="31" t="s">
        <v>153</v>
      </c>
      <c r="E159" s="31" t="s">
        <v>144</v>
      </c>
      <c r="F159" s="30">
        <v>44531</v>
      </c>
      <c r="G159" s="29">
        <v>151084</v>
      </c>
    </row>
    <row r="160" spans="3:7" ht="14.25" customHeight="1">
      <c r="C160" s="29">
        <v>154</v>
      </c>
      <c r="D160" s="31" t="s">
        <v>150</v>
      </c>
      <c r="E160" s="31" t="s">
        <v>144</v>
      </c>
      <c r="F160" s="30">
        <v>44287</v>
      </c>
      <c r="G160" s="29">
        <v>247904</v>
      </c>
    </row>
    <row r="161" spans="3:7" ht="14.25" customHeight="1">
      <c r="C161" s="29">
        <v>155</v>
      </c>
      <c r="D161" s="31" t="s">
        <v>147</v>
      </c>
      <c r="E161" s="31" t="s">
        <v>151</v>
      </c>
      <c r="F161" s="30">
        <v>44228</v>
      </c>
      <c r="G161" s="29">
        <v>33876</v>
      </c>
    </row>
    <row r="162" spans="3:7" ht="14.25" customHeight="1">
      <c r="C162" s="29">
        <v>156</v>
      </c>
      <c r="D162" s="31" t="s">
        <v>149</v>
      </c>
      <c r="E162" s="31" t="s">
        <v>148</v>
      </c>
      <c r="F162" s="30">
        <v>44348</v>
      </c>
      <c r="G162" s="29">
        <v>95791</v>
      </c>
    </row>
    <row r="163" spans="3:7" ht="14.25" customHeight="1">
      <c r="C163" s="29">
        <v>157</v>
      </c>
      <c r="D163" s="31" t="s">
        <v>150</v>
      </c>
      <c r="E163" s="31" t="s">
        <v>146</v>
      </c>
      <c r="F163" s="30">
        <v>44287</v>
      </c>
      <c r="G163" s="29">
        <v>201120</v>
      </c>
    </row>
    <row r="164" spans="3:7" ht="14.25" customHeight="1">
      <c r="C164" s="29">
        <v>158</v>
      </c>
      <c r="D164" s="31" t="s">
        <v>150</v>
      </c>
      <c r="E164" s="31" t="s">
        <v>152</v>
      </c>
      <c r="F164" s="30">
        <v>44287</v>
      </c>
      <c r="G164" s="29">
        <v>196137</v>
      </c>
    </row>
    <row r="165" spans="3:7" ht="14.25" customHeight="1">
      <c r="C165" s="29">
        <v>159</v>
      </c>
      <c r="D165" s="31" t="s">
        <v>150</v>
      </c>
      <c r="E165" s="31" t="s">
        <v>146</v>
      </c>
      <c r="F165" s="30">
        <v>44197</v>
      </c>
      <c r="G165" s="29">
        <v>6345</v>
      </c>
    </row>
    <row r="166" spans="3:7" ht="14.25" customHeight="1">
      <c r="C166" s="29">
        <v>160</v>
      </c>
      <c r="D166" s="31" t="s">
        <v>150</v>
      </c>
      <c r="E166" s="31" t="s">
        <v>152</v>
      </c>
      <c r="F166" s="30">
        <v>44197</v>
      </c>
      <c r="G166" s="29">
        <v>60394</v>
      </c>
    </row>
    <row r="167" spans="3:7" ht="14.25" customHeight="1">
      <c r="C167" s="29">
        <v>161</v>
      </c>
      <c r="D167" s="31" t="s">
        <v>149</v>
      </c>
      <c r="E167" s="31" t="s">
        <v>144</v>
      </c>
      <c r="F167" s="30">
        <v>44197</v>
      </c>
      <c r="G167" s="29">
        <v>208053</v>
      </c>
    </row>
    <row r="168" spans="3:7" ht="14.25" customHeight="1">
      <c r="C168" s="29">
        <v>162</v>
      </c>
      <c r="D168" s="31" t="s">
        <v>149</v>
      </c>
      <c r="E168" s="31" t="s">
        <v>151</v>
      </c>
      <c r="F168" s="30">
        <v>44287</v>
      </c>
      <c r="G168" s="29">
        <v>216555</v>
      </c>
    </row>
    <row r="169" spans="3:7" ht="14.25" customHeight="1">
      <c r="C169" s="29">
        <v>163</v>
      </c>
      <c r="D169" s="31" t="s">
        <v>150</v>
      </c>
      <c r="E169" s="31" t="s">
        <v>146</v>
      </c>
      <c r="F169" s="30">
        <v>44256</v>
      </c>
      <c r="G169" s="29">
        <v>30219</v>
      </c>
    </row>
    <row r="170" spans="3:7" ht="14.25" customHeight="1">
      <c r="C170" s="29">
        <v>164</v>
      </c>
      <c r="D170" s="31" t="s">
        <v>150</v>
      </c>
      <c r="E170" s="31" t="s">
        <v>148</v>
      </c>
      <c r="F170" s="30">
        <v>44531</v>
      </c>
      <c r="G170" s="29">
        <v>112636</v>
      </c>
    </row>
    <row r="171" spans="3:7" ht="14.25" customHeight="1">
      <c r="C171" s="29">
        <v>165</v>
      </c>
      <c r="D171" s="31" t="s">
        <v>150</v>
      </c>
      <c r="E171" s="31" t="s">
        <v>151</v>
      </c>
      <c r="F171" s="30">
        <v>44317</v>
      </c>
      <c r="G171" s="29">
        <v>232025</v>
      </c>
    </row>
    <row r="172" spans="3:7" ht="14.25" customHeight="1">
      <c r="C172" s="29">
        <v>166</v>
      </c>
      <c r="D172" s="31" t="s">
        <v>145</v>
      </c>
      <c r="E172" s="31" t="s">
        <v>152</v>
      </c>
      <c r="F172" s="30">
        <v>44378</v>
      </c>
      <c r="G172" s="29">
        <v>23560</v>
      </c>
    </row>
    <row r="173" spans="3:7" ht="14.25" customHeight="1">
      <c r="C173" s="29">
        <v>167</v>
      </c>
      <c r="D173" s="31" t="s">
        <v>150</v>
      </c>
      <c r="E173" s="31" t="s">
        <v>148</v>
      </c>
      <c r="F173" s="30">
        <v>44317</v>
      </c>
      <c r="G173" s="29">
        <v>223042</v>
      </c>
    </row>
    <row r="174" spans="3:7" ht="14.25" customHeight="1">
      <c r="C174" s="29">
        <v>168</v>
      </c>
      <c r="D174" s="31" t="s">
        <v>147</v>
      </c>
      <c r="E174" s="31" t="s">
        <v>148</v>
      </c>
      <c r="F174" s="30">
        <v>44378</v>
      </c>
      <c r="G174" s="29">
        <v>185869</v>
      </c>
    </row>
    <row r="175" spans="3:7" ht="14.25" customHeight="1">
      <c r="C175" s="29">
        <v>169</v>
      </c>
      <c r="D175" s="31" t="s">
        <v>147</v>
      </c>
      <c r="E175" s="31" t="s">
        <v>148</v>
      </c>
      <c r="F175" s="30">
        <v>44287</v>
      </c>
      <c r="G175" s="29">
        <v>73394</v>
      </c>
    </row>
    <row r="176" spans="3:7" ht="14.25" customHeight="1">
      <c r="C176" s="29">
        <v>170</v>
      </c>
      <c r="D176" s="31" t="s">
        <v>149</v>
      </c>
      <c r="E176" s="31" t="s">
        <v>148</v>
      </c>
      <c r="F176" s="30">
        <v>44348</v>
      </c>
      <c r="G176" s="29">
        <v>254580</v>
      </c>
    </row>
    <row r="177" spans="3:7" ht="14.25" customHeight="1">
      <c r="C177" s="29">
        <v>171</v>
      </c>
      <c r="D177" s="31" t="s">
        <v>147</v>
      </c>
      <c r="E177" s="31" t="s">
        <v>146</v>
      </c>
      <c r="F177" s="30">
        <v>44470</v>
      </c>
      <c r="G177" s="29">
        <v>175018</v>
      </c>
    </row>
    <row r="178" spans="3:7" ht="14.25" customHeight="1">
      <c r="C178" s="29">
        <v>172</v>
      </c>
      <c r="D178" s="31" t="s">
        <v>147</v>
      </c>
      <c r="E178" s="31" t="s">
        <v>146</v>
      </c>
      <c r="F178" s="30">
        <v>44197</v>
      </c>
      <c r="G178" s="29">
        <v>248756</v>
      </c>
    </row>
    <row r="179" spans="3:7" ht="14.25" customHeight="1">
      <c r="C179" s="29">
        <v>173</v>
      </c>
      <c r="D179" s="31" t="s">
        <v>149</v>
      </c>
      <c r="E179" s="31" t="s">
        <v>152</v>
      </c>
      <c r="F179" s="30">
        <v>44531</v>
      </c>
      <c r="G179" s="29">
        <v>22305</v>
      </c>
    </row>
    <row r="180" spans="3:7" ht="14.25" customHeight="1">
      <c r="C180" s="29">
        <v>174</v>
      </c>
      <c r="D180" s="31" t="s">
        <v>149</v>
      </c>
      <c r="E180" s="31" t="s">
        <v>151</v>
      </c>
      <c r="F180" s="30">
        <v>44228</v>
      </c>
      <c r="G180" s="29">
        <v>5187</v>
      </c>
    </row>
    <row r="181" spans="3:7" ht="14.25" customHeight="1">
      <c r="C181" s="29">
        <v>175</v>
      </c>
      <c r="D181" s="31" t="s">
        <v>147</v>
      </c>
      <c r="E181" s="31" t="s">
        <v>152</v>
      </c>
      <c r="F181" s="30">
        <v>44197</v>
      </c>
      <c r="G181" s="29">
        <v>100486</v>
      </c>
    </row>
    <row r="182" spans="3:7" ht="14.25" customHeight="1">
      <c r="C182" s="29">
        <v>176</v>
      </c>
      <c r="D182" s="31" t="s">
        <v>149</v>
      </c>
      <c r="E182" s="31" t="s">
        <v>148</v>
      </c>
      <c r="F182" s="30">
        <v>44287</v>
      </c>
      <c r="G182" s="29">
        <v>259</v>
      </c>
    </row>
    <row r="183" spans="3:7" ht="14.25" customHeight="1">
      <c r="C183" s="29">
        <v>177</v>
      </c>
      <c r="D183" s="31" t="s">
        <v>150</v>
      </c>
      <c r="E183" s="31" t="s">
        <v>144</v>
      </c>
      <c r="F183" s="30">
        <v>44287</v>
      </c>
      <c r="G183" s="29">
        <v>61230</v>
      </c>
    </row>
    <row r="184" spans="3:7" ht="14.25" customHeight="1">
      <c r="C184" s="29">
        <v>178</v>
      </c>
      <c r="D184" s="31" t="s">
        <v>149</v>
      </c>
      <c r="E184" s="31" t="s">
        <v>144</v>
      </c>
      <c r="F184" s="30">
        <v>44256</v>
      </c>
      <c r="G184" s="29">
        <v>29435</v>
      </c>
    </row>
    <row r="185" spans="3:7" ht="14.25" customHeight="1">
      <c r="C185" s="29">
        <v>179</v>
      </c>
      <c r="D185" s="31" t="s">
        <v>150</v>
      </c>
      <c r="E185" s="31" t="s">
        <v>144</v>
      </c>
      <c r="F185" s="30">
        <v>44228</v>
      </c>
      <c r="G185" s="29">
        <v>74022</v>
      </c>
    </row>
    <row r="186" spans="3:7" ht="14.25" customHeight="1">
      <c r="C186" s="29">
        <v>180</v>
      </c>
      <c r="D186" s="31" t="s">
        <v>145</v>
      </c>
      <c r="E186" s="31" t="s">
        <v>144</v>
      </c>
      <c r="F186" s="30">
        <v>44317</v>
      </c>
      <c r="G186" s="29">
        <v>124153</v>
      </c>
    </row>
    <row r="187" spans="3:7" ht="14.25" customHeight="1">
      <c r="C187" s="29">
        <v>181</v>
      </c>
      <c r="D187" s="31" t="s">
        <v>149</v>
      </c>
      <c r="E187" s="31" t="s">
        <v>152</v>
      </c>
      <c r="F187" s="30">
        <v>44470</v>
      </c>
      <c r="G187" s="29">
        <v>225220</v>
      </c>
    </row>
    <row r="188" spans="3:7" ht="14.25" customHeight="1">
      <c r="C188" s="29">
        <v>182</v>
      </c>
      <c r="D188" s="31" t="s">
        <v>145</v>
      </c>
      <c r="E188" s="31" t="s">
        <v>148</v>
      </c>
      <c r="F188" s="30">
        <v>44317</v>
      </c>
      <c r="G188" s="29">
        <v>164464</v>
      </c>
    </row>
    <row r="189" spans="3:7" ht="14.25" customHeight="1">
      <c r="C189" s="29">
        <v>183</v>
      </c>
      <c r="D189" s="31" t="s">
        <v>149</v>
      </c>
      <c r="E189" s="31" t="s">
        <v>144</v>
      </c>
      <c r="F189" s="30">
        <v>44287</v>
      </c>
      <c r="G189" s="29">
        <v>145328</v>
      </c>
    </row>
    <row r="190" spans="3:7" ht="14.25" customHeight="1">
      <c r="C190" s="29">
        <v>184</v>
      </c>
      <c r="D190" s="31" t="s">
        <v>150</v>
      </c>
      <c r="E190" s="31" t="s">
        <v>146</v>
      </c>
      <c r="F190" s="30">
        <v>44287</v>
      </c>
      <c r="G190" s="29">
        <v>189847</v>
      </c>
    </row>
    <row r="191" spans="3:7" ht="14.25" customHeight="1">
      <c r="C191" s="29">
        <v>185</v>
      </c>
      <c r="D191" s="31" t="s">
        <v>153</v>
      </c>
      <c r="E191" s="31" t="s">
        <v>152</v>
      </c>
      <c r="F191" s="30">
        <v>44317</v>
      </c>
      <c r="G191" s="29">
        <v>240648</v>
      </c>
    </row>
    <row r="192" spans="3:7" ht="14.25" customHeight="1">
      <c r="C192" s="29">
        <v>186</v>
      </c>
      <c r="D192" s="31" t="s">
        <v>153</v>
      </c>
      <c r="E192" s="31" t="s">
        <v>151</v>
      </c>
      <c r="F192" s="30">
        <v>44287</v>
      </c>
      <c r="G192" s="29">
        <v>73163</v>
      </c>
    </row>
    <row r="193" spans="3:7" ht="14.25" customHeight="1">
      <c r="C193" s="29">
        <v>187</v>
      </c>
      <c r="D193" s="31" t="s">
        <v>153</v>
      </c>
      <c r="E193" s="31" t="s">
        <v>146</v>
      </c>
      <c r="F193" s="30">
        <v>44409</v>
      </c>
      <c r="G193" s="29">
        <v>67090</v>
      </c>
    </row>
    <row r="194" spans="3:7" ht="14.25" customHeight="1">
      <c r="C194" s="29">
        <v>188</v>
      </c>
      <c r="D194" s="31" t="s">
        <v>153</v>
      </c>
      <c r="E194" s="31" t="s">
        <v>146</v>
      </c>
      <c r="F194" s="30">
        <v>44440</v>
      </c>
      <c r="G194" s="29">
        <v>13179</v>
      </c>
    </row>
    <row r="195" spans="3:7" ht="14.25" customHeight="1">
      <c r="C195" s="29">
        <v>189</v>
      </c>
      <c r="D195" s="31" t="s">
        <v>153</v>
      </c>
      <c r="E195" s="31" t="s">
        <v>148</v>
      </c>
      <c r="F195" s="30">
        <v>44228</v>
      </c>
      <c r="G195" s="29">
        <v>210276</v>
      </c>
    </row>
    <row r="196" spans="3:7" ht="14.25" customHeight="1">
      <c r="C196" s="29">
        <v>190</v>
      </c>
      <c r="D196" s="31" t="s">
        <v>153</v>
      </c>
      <c r="E196" s="31" t="s">
        <v>148</v>
      </c>
      <c r="F196" s="30">
        <v>44228</v>
      </c>
      <c r="G196" s="29">
        <v>86142</v>
      </c>
    </row>
    <row r="197" spans="3:7" ht="14.25" customHeight="1">
      <c r="C197" s="29">
        <v>191</v>
      </c>
      <c r="D197" s="31" t="s">
        <v>153</v>
      </c>
      <c r="E197" s="31" t="s">
        <v>151</v>
      </c>
      <c r="F197" s="30">
        <v>44287</v>
      </c>
      <c r="G197" s="29">
        <v>203878</v>
      </c>
    </row>
    <row r="198" spans="3:7" ht="14.25" customHeight="1">
      <c r="C198" s="29">
        <v>192</v>
      </c>
      <c r="D198" s="31" t="s">
        <v>153</v>
      </c>
      <c r="E198" s="31" t="s">
        <v>144</v>
      </c>
      <c r="F198" s="30">
        <v>44378</v>
      </c>
      <c r="G198" s="29">
        <v>86843</v>
      </c>
    </row>
    <row r="199" spans="3:7" ht="14.25" customHeight="1">
      <c r="C199" s="29">
        <v>193</v>
      </c>
      <c r="D199" s="31" t="s">
        <v>153</v>
      </c>
      <c r="E199" s="31" t="s">
        <v>144</v>
      </c>
      <c r="F199" s="30">
        <v>44531</v>
      </c>
      <c r="G199" s="29">
        <v>-21877</v>
      </c>
    </row>
    <row r="200" spans="3:7" ht="14.25" customHeight="1">
      <c r="C200" s="29">
        <v>194</v>
      </c>
      <c r="D200" s="31" t="s">
        <v>153</v>
      </c>
      <c r="E200" s="31" t="s">
        <v>144</v>
      </c>
      <c r="F200" s="30">
        <v>44197</v>
      </c>
      <c r="G200" s="29">
        <v>95623</v>
      </c>
    </row>
    <row r="201" spans="3:7" ht="14.25" customHeight="1">
      <c r="C201" s="29">
        <v>195</v>
      </c>
      <c r="D201" s="31" t="s">
        <v>153</v>
      </c>
      <c r="E201" s="31" t="s">
        <v>146</v>
      </c>
      <c r="F201" s="30">
        <v>44531</v>
      </c>
      <c r="G201" s="29">
        <v>244284</v>
      </c>
    </row>
    <row r="202" spans="3:7" ht="14.25" customHeight="1">
      <c r="C202" s="29">
        <v>196</v>
      </c>
      <c r="D202" s="31" t="s">
        <v>153</v>
      </c>
      <c r="E202" s="31" t="s">
        <v>146</v>
      </c>
      <c r="F202" s="30">
        <v>44378</v>
      </c>
      <c r="G202" s="29">
        <v>103592</v>
      </c>
    </row>
    <row r="203" spans="3:7" ht="14.25" customHeight="1">
      <c r="C203" s="29">
        <v>197</v>
      </c>
      <c r="D203" s="31" t="s">
        <v>153</v>
      </c>
      <c r="E203" s="31" t="s">
        <v>152</v>
      </c>
      <c r="F203" s="30">
        <v>44348</v>
      </c>
      <c r="G203" s="29">
        <v>17150</v>
      </c>
    </row>
    <row r="204" spans="3:7" ht="14.25" customHeight="1">
      <c r="C204" s="29">
        <v>198</v>
      </c>
      <c r="D204" s="31" t="s">
        <v>153</v>
      </c>
      <c r="E204" s="31" t="s">
        <v>151</v>
      </c>
      <c r="F204" s="30">
        <v>44378</v>
      </c>
      <c r="G204" s="29">
        <v>138473</v>
      </c>
    </row>
    <row r="205" spans="3:7" ht="14.25" customHeight="1">
      <c r="C205" s="29">
        <v>199</v>
      </c>
      <c r="D205" s="31" t="s">
        <v>153</v>
      </c>
      <c r="E205" s="31" t="s">
        <v>146</v>
      </c>
      <c r="F205" s="30">
        <v>44287</v>
      </c>
      <c r="G205" s="29">
        <v>81846</v>
      </c>
    </row>
    <row r="206" spans="3:7" ht="14.25" customHeight="1">
      <c r="C206" s="29">
        <v>200</v>
      </c>
      <c r="D206" s="31" t="s">
        <v>153</v>
      </c>
      <c r="E206" s="31" t="s">
        <v>146</v>
      </c>
      <c r="F206" s="30">
        <v>44409</v>
      </c>
      <c r="G206" s="29">
        <v>10877</v>
      </c>
    </row>
    <row r="207" spans="3:7" ht="14.25" customHeight="1">
      <c r="C207" s="29">
        <v>201</v>
      </c>
      <c r="D207" s="31" t="s">
        <v>149</v>
      </c>
      <c r="E207" s="31" t="s">
        <v>151</v>
      </c>
      <c r="F207" s="30">
        <v>44409</v>
      </c>
      <c r="G207" s="29">
        <v>155980</v>
      </c>
    </row>
    <row r="208" spans="3:7" ht="14.25" customHeight="1">
      <c r="C208" s="29">
        <v>202</v>
      </c>
      <c r="D208" s="31" t="s">
        <v>145</v>
      </c>
      <c r="E208" s="31" t="s">
        <v>144</v>
      </c>
      <c r="F208" s="30">
        <v>44409</v>
      </c>
      <c r="G208" s="29">
        <v>23010</v>
      </c>
    </row>
    <row r="209" spans="3:7" ht="14.25" customHeight="1">
      <c r="C209" s="29">
        <v>203</v>
      </c>
      <c r="D209" s="31" t="s">
        <v>145</v>
      </c>
      <c r="E209" s="31" t="s">
        <v>148</v>
      </c>
      <c r="F209" s="30">
        <v>44531</v>
      </c>
      <c r="G209" s="29">
        <v>71529</v>
      </c>
    </row>
    <row r="210" spans="3:7" ht="14.25" customHeight="1">
      <c r="C210" s="29">
        <v>204</v>
      </c>
      <c r="D210" s="31" t="s">
        <v>147</v>
      </c>
      <c r="E210" s="31" t="s">
        <v>151</v>
      </c>
      <c r="F210" s="30">
        <v>44470</v>
      </c>
      <c r="G210" s="29">
        <v>39494</v>
      </c>
    </row>
    <row r="211" spans="3:7" ht="14.25" customHeight="1">
      <c r="C211" s="29">
        <v>205</v>
      </c>
      <c r="D211" s="31" t="s">
        <v>145</v>
      </c>
      <c r="E211" s="31" t="s">
        <v>151</v>
      </c>
      <c r="F211" s="30">
        <v>44228</v>
      </c>
      <c r="G211" s="29">
        <v>157993</v>
      </c>
    </row>
    <row r="212" spans="3:7" ht="14.25" customHeight="1">
      <c r="C212" s="29">
        <v>206</v>
      </c>
      <c r="D212" s="31" t="s">
        <v>147</v>
      </c>
      <c r="E212" s="31" t="s">
        <v>144</v>
      </c>
      <c r="F212" s="30">
        <v>44378</v>
      </c>
      <c r="G212" s="29">
        <v>121986</v>
      </c>
    </row>
    <row r="213" spans="3:7" ht="14.25" customHeight="1">
      <c r="C213" s="29">
        <v>207</v>
      </c>
      <c r="D213" s="31" t="s">
        <v>150</v>
      </c>
      <c r="E213" s="31" t="s">
        <v>148</v>
      </c>
      <c r="F213" s="30">
        <v>44440</v>
      </c>
      <c r="G213" s="29">
        <v>258051</v>
      </c>
    </row>
    <row r="214" spans="3:7" ht="14.25" customHeight="1">
      <c r="C214" s="29">
        <v>208</v>
      </c>
      <c r="D214" s="31" t="s">
        <v>149</v>
      </c>
      <c r="E214" s="31" t="s">
        <v>144</v>
      </c>
      <c r="F214" s="30">
        <v>44197</v>
      </c>
      <c r="G214" s="29">
        <v>6460</v>
      </c>
    </row>
    <row r="215" spans="3:7" ht="14.25" customHeight="1">
      <c r="C215" s="29">
        <v>209</v>
      </c>
      <c r="D215" s="31" t="s">
        <v>150</v>
      </c>
      <c r="E215" s="31" t="s">
        <v>144</v>
      </c>
      <c r="F215" s="30">
        <v>44256</v>
      </c>
      <c r="G215" s="29">
        <v>114470</v>
      </c>
    </row>
    <row r="216" spans="3:7" ht="14.25" customHeight="1">
      <c r="C216" s="29">
        <v>210</v>
      </c>
      <c r="D216" s="31" t="s">
        <v>149</v>
      </c>
      <c r="E216" s="31" t="s">
        <v>152</v>
      </c>
      <c r="F216" s="30">
        <v>44228</v>
      </c>
      <c r="G216" s="29">
        <v>8721</v>
      </c>
    </row>
    <row r="217" spans="3:7" ht="14.25" customHeight="1">
      <c r="C217" s="29">
        <v>211</v>
      </c>
      <c r="D217" s="31" t="s">
        <v>147</v>
      </c>
      <c r="E217" s="31" t="s">
        <v>144</v>
      </c>
      <c r="F217" s="30">
        <v>44440</v>
      </c>
      <c r="G217" s="29">
        <v>160752</v>
      </c>
    </row>
    <row r="218" spans="3:7" ht="14.25" customHeight="1">
      <c r="C218" s="29">
        <v>212</v>
      </c>
      <c r="D218" s="31" t="s">
        <v>147</v>
      </c>
      <c r="E218" s="31" t="s">
        <v>144</v>
      </c>
      <c r="F218" s="30">
        <v>44531</v>
      </c>
      <c r="G218" s="29">
        <v>1365</v>
      </c>
    </row>
    <row r="219" spans="3:7" ht="14.25" customHeight="1">
      <c r="C219" s="29">
        <v>213</v>
      </c>
      <c r="D219" s="31" t="s">
        <v>149</v>
      </c>
      <c r="E219" s="31" t="s">
        <v>146</v>
      </c>
      <c r="F219" s="30">
        <v>44531</v>
      </c>
      <c r="G219" s="29">
        <v>54633</v>
      </c>
    </row>
    <row r="220" spans="3:7" ht="14.25" customHeight="1">
      <c r="C220" s="29">
        <v>214</v>
      </c>
      <c r="D220" s="31" t="s">
        <v>147</v>
      </c>
      <c r="E220" s="31" t="s">
        <v>151</v>
      </c>
      <c r="F220" s="30">
        <v>44348</v>
      </c>
      <c r="G220" s="29">
        <v>130437</v>
      </c>
    </row>
    <row r="221" spans="3:7" ht="14.25" customHeight="1">
      <c r="C221" s="29">
        <v>215</v>
      </c>
      <c r="D221" s="31" t="s">
        <v>149</v>
      </c>
      <c r="E221" s="31" t="s">
        <v>144</v>
      </c>
      <c r="F221" s="30">
        <v>44317</v>
      </c>
      <c r="G221" s="29">
        <v>53266</v>
      </c>
    </row>
    <row r="222" spans="3:7" ht="14.25" customHeight="1">
      <c r="C222" s="29">
        <v>216</v>
      </c>
      <c r="D222" s="31" t="s">
        <v>147</v>
      </c>
      <c r="E222" s="31" t="s">
        <v>146</v>
      </c>
      <c r="F222" s="30">
        <v>44409</v>
      </c>
      <c r="G222" s="29">
        <v>110965</v>
      </c>
    </row>
    <row r="223" spans="3:7" ht="14.25" customHeight="1">
      <c r="C223" s="29">
        <v>217</v>
      </c>
      <c r="D223" s="31" t="s">
        <v>149</v>
      </c>
      <c r="E223" s="31" t="s">
        <v>148</v>
      </c>
      <c r="F223" s="30">
        <v>44348</v>
      </c>
      <c r="G223" s="29">
        <v>159478</v>
      </c>
    </row>
    <row r="224" spans="3:7" ht="14.25" customHeight="1">
      <c r="C224" s="29">
        <v>218</v>
      </c>
      <c r="D224" s="31" t="s">
        <v>147</v>
      </c>
      <c r="E224" s="31" t="s">
        <v>151</v>
      </c>
      <c r="F224" s="30">
        <v>44348</v>
      </c>
      <c r="G224" s="29">
        <v>96983</v>
      </c>
    </row>
    <row r="225" spans="3:7" ht="14.25" customHeight="1">
      <c r="C225" s="29">
        <v>219</v>
      </c>
      <c r="D225" s="31" t="s">
        <v>149</v>
      </c>
      <c r="E225" s="31" t="s">
        <v>151</v>
      </c>
      <c r="F225" s="30">
        <v>44228</v>
      </c>
      <c r="G225" s="29">
        <v>15238</v>
      </c>
    </row>
    <row r="226" spans="3:7" ht="14.25" customHeight="1">
      <c r="C226" s="29">
        <v>220</v>
      </c>
      <c r="D226" s="31" t="s">
        <v>150</v>
      </c>
      <c r="E226" s="31" t="s">
        <v>148</v>
      </c>
      <c r="F226" s="30">
        <v>44287</v>
      </c>
      <c r="G226" s="29">
        <v>89649</v>
      </c>
    </row>
    <row r="227" spans="3:7" ht="14.25" customHeight="1">
      <c r="C227" s="29">
        <v>221</v>
      </c>
      <c r="D227" s="31" t="s">
        <v>145</v>
      </c>
      <c r="E227" s="31" t="s">
        <v>148</v>
      </c>
      <c r="F227" s="30">
        <v>44287</v>
      </c>
      <c r="G227" s="29">
        <v>42319</v>
      </c>
    </row>
    <row r="228" spans="3:7" ht="14.25" customHeight="1">
      <c r="C228" s="29">
        <v>222</v>
      </c>
      <c r="D228" s="31" t="s">
        <v>147</v>
      </c>
      <c r="E228" s="31" t="s">
        <v>148</v>
      </c>
      <c r="F228" s="30">
        <v>44317</v>
      </c>
      <c r="G228" s="29">
        <v>1519</v>
      </c>
    </row>
    <row r="229" spans="3:7" ht="14.25" customHeight="1">
      <c r="C229" s="29">
        <v>223</v>
      </c>
      <c r="D229" s="31" t="s">
        <v>149</v>
      </c>
      <c r="E229" s="31" t="s">
        <v>151</v>
      </c>
      <c r="F229" s="30">
        <v>44409</v>
      </c>
      <c r="G229" s="29">
        <v>78549</v>
      </c>
    </row>
    <row r="230" spans="3:7" ht="14.25" customHeight="1">
      <c r="C230" s="29">
        <v>224</v>
      </c>
      <c r="D230" s="31" t="s">
        <v>145</v>
      </c>
      <c r="E230" s="31" t="s">
        <v>151</v>
      </c>
      <c r="F230" s="30">
        <v>44317</v>
      </c>
      <c r="G230" s="29">
        <v>1696</v>
      </c>
    </row>
    <row r="231" spans="3:7" ht="14.25" customHeight="1">
      <c r="C231" s="29">
        <v>225</v>
      </c>
      <c r="D231" s="31" t="s">
        <v>149</v>
      </c>
      <c r="E231" s="31" t="s">
        <v>152</v>
      </c>
      <c r="F231" s="30">
        <v>44228</v>
      </c>
      <c r="G231" s="29">
        <v>252387</v>
      </c>
    </row>
    <row r="232" spans="3:7" ht="14.25" customHeight="1">
      <c r="C232" s="29">
        <v>226</v>
      </c>
      <c r="D232" s="31" t="s">
        <v>145</v>
      </c>
      <c r="E232" s="31" t="s">
        <v>151</v>
      </c>
      <c r="F232" s="30">
        <v>44228</v>
      </c>
      <c r="G232" s="29">
        <v>27849</v>
      </c>
    </row>
    <row r="233" spans="3:7" ht="14.25" customHeight="1">
      <c r="C233" s="29">
        <v>227</v>
      </c>
      <c r="D233" s="31" t="s">
        <v>149</v>
      </c>
      <c r="E233" s="31" t="s">
        <v>152</v>
      </c>
      <c r="F233" s="30">
        <v>44287</v>
      </c>
      <c r="G233" s="29">
        <v>173334</v>
      </c>
    </row>
    <row r="234" spans="3:7" ht="14.25" customHeight="1">
      <c r="C234" s="29">
        <v>228</v>
      </c>
      <c r="D234" s="31" t="s">
        <v>147</v>
      </c>
      <c r="E234" s="31" t="s">
        <v>146</v>
      </c>
      <c r="F234" s="30">
        <v>44287</v>
      </c>
      <c r="G234" s="29">
        <v>221658</v>
      </c>
    </row>
    <row r="235" spans="3:7" ht="14.25" customHeight="1">
      <c r="C235" s="29">
        <v>229</v>
      </c>
      <c r="D235" s="31" t="s">
        <v>145</v>
      </c>
      <c r="E235" s="31" t="s">
        <v>148</v>
      </c>
      <c r="F235" s="30">
        <v>44531</v>
      </c>
      <c r="G235" s="29">
        <v>12709</v>
      </c>
    </row>
    <row r="236" spans="3:7" ht="14.25" customHeight="1">
      <c r="C236" s="29">
        <v>230</v>
      </c>
      <c r="D236" s="31" t="s">
        <v>147</v>
      </c>
      <c r="E236" s="31" t="s">
        <v>144</v>
      </c>
      <c r="F236" s="30">
        <v>44256</v>
      </c>
      <c r="G236" s="29">
        <v>6845</v>
      </c>
    </row>
    <row r="237" spans="3:7" ht="14.25" customHeight="1">
      <c r="C237" s="29">
        <v>231</v>
      </c>
      <c r="D237" s="31" t="s">
        <v>150</v>
      </c>
      <c r="E237" s="31" t="s">
        <v>148</v>
      </c>
      <c r="F237" s="30">
        <v>44501</v>
      </c>
      <c r="G237" s="29">
        <v>39271</v>
      </c>
    </row>
    <row r="238" spans="3:7" ht="14.25" customHeight="1">
      <c r="C238" s="29">
        <v>232</v>
      </c>
      <c r="D238" s="31" t="s">
        <v>150</v>
      </c>
      <c r="E238" s="31" t="s">
        <v>151</v>
      </c>
      <c r="F238" s="30">
        <v>44440</v>
      </c>
      <c r="G238" s="29">
        <v>208038</v>
      </c>
    </row>
    <row r="239" spans="3:7" ht="14.25" customHeight="1">
      <c r="C239" s="29">
        <v>233</v>
      </c>
      <c r="D239" s="31" t="s">
        <v>149</v>
      </c>
      <c r="E239" s="31" t="s">
        <v>151</v>
      </c>
      <c r="F239" s="30">
        <v>44378</v>
      </c>
      <c r="G239" s="29">
        <v>12894</v>
      </c>
    </row>
    <row r="240" spans="3:7" ht="14.25" customHeight="1">
      <c r="C240" s="29">
        <v>234</v>
      </c>
      <c r="D240" s="31" t="s">
        <v>145</v>
      </c>
      <c r="E240" s="31" t="s">
        <v>148</v>
      </c>
      <c r="F240" s="30">
        <v>44470</v>
      </c>
      <c r="G240" s="29">
        <v>236531</v>
      </c>
    </row>
    <row r="241" spans="3:7" ht="14.25" customHeight="1">
      <c r="C241" s="29">
        <v>235</v>
      </c>
      <c r="D241" s="31" t="s">
        <v>149</v>
      </c>
      <c r="E241" s="31" t="s">
        <v>148</v>
      </c>
      <c r="F241" s="30">
        <v>44470</v>
      </c>
      <c r="G241" s="29">
        <v>128249</v>
      </c>
    </row>
    <row r="242" spans="3:7" ht="14.25" customHeight="1">
      <c r="C242" s="29">
        <v>236</v>
      </c>
      <c r="D242" s="31" t="s">
        <v>145</v>
      </c>
      <c r="E242" s="31" t="s">
        <v>148</v>
      </c>
      <c r="F242" s="30">
        <v>44531</v>
      </c>
      <c r="G242" s="29">
        <v>210352</v>
      </c>
    </row>
    <row r="243" spans="3:7" ht="14.25" customHeight="1">
      <c r="C243" s="29">
        <v>237</v>
      </c>
      <c r="D243" s="31" t="s">
        <v>149</v>
      </c>
      <c r="E243" s="31" t="s">
        <v>144</v>
      </c>
      <c r="F243" s="30">
        <v>44256</v>
      </c>
      <c r="G243" s="29">
        <v>133951</v>
      </c>
    </row>
    <row r="244" spans="3:7" ht="14.25" customHeight="1">
      <c r="C244" s="29">
        <v>238</v>
      </c>
      <c r="D244" s="31" t="s">
        <v>149</v>
      </c>
      <c r="E244" s="31" t="s">
        <v>148</v>
      </c>
      <c r="F244" s="30">
        <v>44256</v>
      </c>
      <c r="G244" s="29">
        <v>117440</v>
      </c>
    </row>
    <row r="245" spans="3:7" ht="14.25" customHeight="1">
      <c r="C245" s="29">
        <v>239</v>
      </c>
      <c r="D245" s="31" t="s">
        <v>147</v>
      </c>
      <c r="E245" s="31" t="s">
        <v>152</v>
      </c>
      <c r="F245" s="30">
        <v>44440</v>
      </c>
      <c r="G245" s="29">
        <v>256402</v>
      </c>
    </row>
    <row r="246" spans="3:7" ht="14.25" customHeight="1">
      <c r="C246" s="29">
        <v>240</v>
      </c>
      <c r="D246" s="31" t="s">
        <v>153</v>
      </c>
      <c r="E246" s="31" t="s">
        <v>148</v>
      </c>
      <c r="F246" s="30">
        <v>44197</v>
      </c>
      <c r="G246" s="29">
        <v>151301</v>
      </c>
    </row>
    <row r="247" spans="3:7" ht="14.25" customHeight="1">
      <c r="C247" s="29">
        <v>241</v>
      </c>
      <c r="D247" s="31" t="s">
        <v>153</v>
      </c>
      <c r="E247" s="31" t="s">
        <v>144</v>
      </c>
      <c r="F247" s="30">
        <v>44501</v>
      </c>
      <c r="G247" s="29">
        <v>74813</v>
      </c>
    </row>
    <row r="248" spans="3:7" ht="14.25" customHeight="1">
      <c r="C248" s="29">
        <v>242</v>
      </c>
      <c r="D248" s="31" t="s">
        <v>153</v>
      </c>
      <c r="E248" s="31" t="s">
        <v>144</v>
      </c>
      <c r="F248" s="30">
        <v>44197</v>
      </c>
      <c r="G248" s="29">
        <v>161532</v>
      </c>
    </row>
    <row r="249" spans="3:7" ht="14.25" customHeight="1">
      <c r="C249" s="29">
        <v>243</v>
      </c>
      <c r="D249" s="31" t="s">
        <v>153</v>
      </c>
      <c r="E249" s="31" t="s">
        <v>152</v>
      </c>
      <c r="F249" s="30">
        <v>44501</v>
      </c>
      <c r="G249" s="29">
        <v>63494</v>
      </c>
    </row>
    <row r="250" spans="3:7" ht="14.25" customHeight="1">
      <c r="C250" s="29">
        <v>244</v>
      </c>
      <c r="D250" s="31" t="s">
        <v>153</v>
      </c>
      <c r="E250" s="31" t="s">
        <v>151</v>
      </c>
      <c r="F250" s="30">
        <v>44501</v>
      </c>
      <c r="G250" s="29">
        <v>8463</v>
      </c>
    </row>
    <row r="251" spans="3:7" ht="14.25" customHeight="1">
      <c r="C251" s="29">
        <v>245</v>
      </c>
      <c r="D251" s="31" t="s">
        <v>153</v>
      </c>
      <c r="E251" s="31" t="s">
        <v>151</v>
      </c>
      <c r="F251" s="30">
        <v>44531</v>
      </c>
      <c r="G251" s="29">
        <v>9630</v>
      </c>
    </row>
    <row r="252" spans="3:7" ht="14.25" customHeight="1">
      <c r="C252" s="29">
        <v>246</v>
      </c>
      <c r="D252" s="31" t="s">
        <v>153</v>
      </c>
      <c r="E252" s="31" t="s">
        <v>146</v>
      </c>
      <c r="F252" s="30">
        <v>44470</v>
      </c>
      <c r="G252" s="29">
        <v>139432</v>
      </c>
    </row>
    <row r="253" spans="3:7" ht="14.25" customHeight="1">
      <c r="C253" s="29">
        <v>247</v>
      </c>
      <c r="D253" s="31" t="s">
        <v>153</v>
      </c>
      <c r="E253" s="31" t="s">
        <v>146</v>
      </c>
      <c r="F253" s="30">
        <v>44440</v>
      </c>
      <c r="G253" s="29">
        <v>261354</v>
      </c>
    </row>
    <row r="254" spans="3:7" ht="14.25" customHeight="1">
      <c r="C254" s="29">
        <v>248</v>
      </c>
      <c r="D254" s="31" t="s">
        <v>153</v>
      </c>
      <c r="E254" s="31" t="s">
        <v>148</v>
      </c>
      <c r="F254" s="30">
        <v>44378</v>
      </c>
      <c r="G254" s="29">
        <v>89802</v>
      </c>
    </row>
    <row r="255" spans="3:7" ht="14.25" customHeight="1">
      <c r="C255" s="29">
        <v>249</v>
      </c>
      <c r="D255" s="31" t="s">
        <v>153</v>
      </c>
      <c r="E255" s="31" t="s">
        <v>148</v>
      </c>
      <c r="F255" s="30">
        <v>44409</v>
      </c>
      <c r="G255" s="29">
        <v>23250</v>
      </c>
    </row>
    <row r="256" spans="3:7" ht="14.25" customHeight="1">
      <c r="C256" s="29">
        <v>250</v>
      </c>
      <c r="D256" s="31" t="s">
        <v>153</v>
      </c>
      <c r="E256" s="31" t="s">
        <v>146</v>
      </c>
      <c r="F256" s="30">
        <v>44501</v>
      </c>
      <c r="G256" s="29">
        <v>156072</v>
      </c>
    </row>
    <row r="257" spans="3:7" ht="14.25" customHeight="1">
      <c r="C257" s="29">
        <v>251</v>
      </c>
      <c r="D257" s="31" t="s">
        <v>153</v>
      </c>
      <c r="E257" s="31" t="s">
        <v>146</v>
      </c>
      <c r="F257" s="30">
        <v>44378</v>
      </c>
      <c r="G257" s="29">
        <v>52513</v>
      </c>
    </row>
    <row r="258" spans="3:7" ht="14.25" customHeight="1">
      <c r="C258" s="29">
        <v>252</v>
      </c>
      <c r="D258" s="31" t="s">
        <v>153</v>
      </c>
      <c r="E258" s="31" t="s">
        <v>146</v>
      </c>
      <c r="F258" s="30">
        <v>44197</v>
      </c>
      <c r="G258" s="29">
        <v>25860</v>
      </c>
    </row>
    <row r="259" spans="3:7" ht="14.25" customHeight="1">
      <c r="C259" s="29">
        <v>253</v>
      </c>
      <c r="D259" s="31" t="s">
        <v>153</v>
      </c>
      <c r="E259" s="31" t="s">
        <v>152</v>
      </c>
      <c r="F259" s="30">
        <v>44287</v>
      </c>
      <c r="G259" s="29">
        <v>244904</v>
      </c>
    </row>
    <row r="260" spans="3:7" ht="14.25" customHeight="1">
      <c r="C260" s="29">
        <v>254</v>
      </c>
      <c r="D260" s="31" t="s">
        <v>153</v>
      </c>
      <c r="E260" s="31" t="s">
        <v>152</v>
      </c>
      <c r="F260" s="30">
        <v>44378</v>
      </c>
      <c r="G260" s="29">
        <v>159745</v>
      </c>
    </row>
    <row r="261" spans="3:7" ht="14.25" customHeight="1">
      <c r="C261" s="29">
        <v>255</v>
      </c>
      <c r="D261" s="31" t="s">
        <v>153</v>
      </c>
      <c r="E261" s="31" t="s">
        <v>146</v>
      </c>
      <c r="F261" s="30">
        <v>44197</v>
      </c>
      <c r="G261" s="29">
        <v>6256</v>
      </c>
    </row>
    <row r="262" spans="3:7" ht="14.25" customHeight="1">
      <c r="C262" s="29">
        <v>256</v>
      </c>
      <c r="D262" s="31" t="s">
        <v>153</v>
      </c>
      <c r="E262" s="31" t="s">
        <v>151</v>
      </c>
      <c r="F262" s="30">
        <v>44228</v>
      </c>
      <c r="G262" s="29">
        <v>194150</v>
      </c>
    </row>
    <row r="263" spans="3:7" ht="14.25" customHeight="1">
      <c r="C263" s="29">
        <v>257</v>
      </c>
      <c r="D263" s="31" t="s">
        <v>153</v>
      </c>
      <c r="E263" s="31" t="s">
        <v>148</v>
      </c>
      <c r="F263" s="30">
        <v>44409</v>
      </c>
      <c r="G263" s="29">
        <v>7382</v>
      </c>
    </row>
    <row r="264" spans="3:7" ht="14.25" customHeight="1">
      <c r="C264" s="29">
        <v>258</v>
      </c>
      <c r="D264" s="31" t="s">
        <v>153</v>
      </c>
      <c r="E264" s="31" t="s">
        <v>146</v>
      </c>
      <c r="F264" s="30">
        <v>44317</v>
      </c>
      <c r="G264" s="29">
        <v>26172</v>
      </c>
    </row>
    <row r="265" spans="3:7" ht="14.25" customHeight="1">
      <c r="C265" s="29">
        <v>259</v>
      </c>
      <c r="D265" s="31" t="s">
        <v>153</v>
      </c>
      <c r="E265" s="31" t="s">
        <v>146</v>
      </c>
      <c r="F265" s="30">
        <v>44501</v>
      </c>
      <c r="G265" s="29">
        <v>223295</v>
      </c>
    </row>
    <row r="266" spans="3:7" ht="14.25" customHeight="1">
      <c r="C266" s="29">
        <v>260</v>
      </c>
      <c r="D266" s="31" t="s">
        <v>153</v>
      </c>
      <c r="E266" s="31" t="s">
        <v>152</v>
      </c>
      <c r="F266" s="30">
        <v>44348</v>
      </c>
      <c r="G266" s="29">
        <v>213069</v>
      </c>
    </row>
    <row r="267" spans="3:7" ht="14.25" customHeight="1">
      <c r="C267" s="29">
        <v>261</v>
      </c>
      <c r="D267" s="31" t="s">
        <v>153</v>
      </c>
      <c r="E267" s="31" t="s">
        <v>148</v>
      </c>
      <c r="F267" s="30">
        <v>44348</v>
      </c>
      <c r="G267" s="29">
        <v>7190</v>
      </c>
    </row>
    <row r="268" spans="3:7" ht="14.25" customHeight="1">
      <c r="C268" s="29">
        <v>262</v>
      </c>
      <c r="D268" s="31" t="s">
        <v>153</v>
      </c>
      <c r="E268" s="31" t="s">
        <v>152</v>
      </c>
      <c r="F268" s="30">
        <v>44256</v>
      </c>
      <c r="G268" s="29">
        <v>51626</v>
      </c>
    </row>
    <row r="269" spans="3:7" ht="14.25" customHeight="1">
      <c r="C269" s="29">
        <v>263</v>
      </c>
      <c r="D269" s="31" t="s">
        <v>153</v>
      </c>
      <c r="E269" s="31" t="s">
        <v>144</v>
      </c>
      <c r="F269" s="30">
        <v>44440</v>
      </c>
      <c r="G269" s="29">
        <v>200584</v>
      </c>
    </row>
    <row r="270" spans="3:7" ht="14.25" customHeight="1">
      <c r="C270" s="29">
        <v>264</v>
      </c>
      <c r="D270" s="31" t="s">
        <v>153</v>
      </c>
      <c r="E270" s="31" t="s">
        <v>151</v>
      </c>
      <c r="F270" s="30">
        <v>44378</v>
      </c>
      <c r="G270" s="29">
        <v>235104</v>
      </c>
    </row>
    <row r="271" spans="3:7" ht="14.25" customHeight="1">
      <c r="C271" s="29">
        <v>265</v>
      </c>
      <c r="D271" s="31" t="s">
        <v>153</v>
      </c>
      <c r="E271" s="31" t="s">
        <v>152</v>
      </c>
      <c r="F271" s="30">
        <v>44440</v>
      </c>
      <c r="G271" s="29">
        <v>55991</v>
      </c>
    </row>
    <row r="272" spans="3:7" ht="14.25" customHeight="1">
      <c r="C272" s="29">
        <v>266</v>
      </c>
      <c r="D272" s="31" t="s">
        <v>153</v>
      </c>
      <c r="E272" s="31" t="s">
        <v>148</v>
      </c>
      <c r="F272" s="30">
        <v>44228</v>
      </c>
      <c r="G272" s="29">
        <v>134107</v>
      </c>
    </row>
    <row r="273" spans="3:7" ht="14.25" customHeight="1">
      <c r="C273" s="29">
        <v>267</v>
      </c>
      <c r="D273" s="31" t="s">
        <v>153</v>
      </c>
      <c r="E273" s="31" t="s">
        <v>144</v>
      </c>
      <c r="F273" s="30">
        <v>44470</v>
      </c>
      <c r="G273" s="29">
        <v>104379</v>
      </c>
    </row>
    <row r="274" spans="3:7" ht="14.25" customHeight="1">
      <c r="C274" s="29">
        <v>268</v>
      </c>
      <c r="D274" s="31" t="s">
        <v>153</v>
      </c>
      <c r="E274" s="31" t="s">
        <v>151</v>
      </c>
      <c r="F274" s="30">
        <v>44470</v>
      </c>
      <c r="G274" s="29">
        <v>22810</v>
      </c>
    </row>
    <row r="275" spans="3:7" ht="14.25" customHeight="1">
      <c r="C275" s="29">
        <v>269</v>
      </c>
      <c r="D275" s="31" t="s">
        <v>153</v>
      </c>
      <c r="E275" s="31" t="s">
        <v>148</v>
      </c>
      <c r="F275" s="30">
        <v>44197</v>
      </c>
      <c r="G275" s="29">
        <v>28289</v>
      </c>
    </row>
    <row r="276" spans="3:7" ht="14.25" customHeight="1">
      <c r="C276" s="29">
        <v>270</v>
      </c>
      <c r="D276" s="31" t="s">
        <v>153</v>
      </c>
      <c r="E276" s="31" t="s">
        <v>151</v>
      </c>
      <c r="F276" s="30">
        <v>44348</v>
      </c>
      <c r="G276" s="29">
        <v>65162</v>
      </c>
    </row>
    <row r="277" spans="3:7" ht="14.25" customHeight="1">
      <c r="C277" s="29">
        <v>271</v>
      </c>
      <c r="D277" s="31" t="s">
        <v>149</v>
      </c>
      <c r="E277" s="31" t="s">
        <v>151</v>
      </c>
      <c r="F277" s="30">
        <v>44256</v>
      </c>
      <c r="G277" s="29">
        <v>201340</v>
      </c>
    </row>
    <row r="278" spans="3:7" ht="14.25" customHeight="1">
      <c r="C278" s="29">
        <v>272</v>
      </c>
      <c r="D278" s="31" t="s">
        <v>150</v>
      </c>
      <c r="E278" s="31" t="s">
        <v>144</v>
      </c>
      <c r="F278" s="30">
        <v>44501</v>
      </c>
      <c r="G278" s="29">
        <v>55433</v>
      </c>
    </row>
    <row r="279" spans="3:7" ht="14.25" customHeight="1">
      <c r="C279" s="29">
        <v>273</v>
      </c>
      <c r="D279" s="31" t="s">
        <v>145</v>
      </c>
      <c r="E279" s="31" t="s">
        <v>152</v>
      </c>
      <c r="F279" s="30">
        <v>44378</v>
      </c>
      <c r="G279" s="29">
        <v>104422</v>
      </c>
    </row>
    <row r="280" spans="3:7" ht="14.25" customHeight="1">
      <c r="C280" s="29">
        <v>274</v>
      </c>
      <c r="D280" s="31" t="s">
        <v>149</v>
      </c>
      <c r="E280" s="31" t="s">
        <v>148</v>
      </c>
      <c r="F280" s="30">
        <v>44531</v>
      </c>
      <c r="G280" s="29">
        <v>100956</v>
      </c>
    </row>
    <row r="281" spans="3:7" ht="14.25" customHeight="1">
      <c r="C281" s="29">
        <v>275</v>
      </c>
      <c r="D281" s="31" t="s">
        <v>149</v>
      </c>
      <c r="E281" s="31" t="s">
        <v>144</v>
      </c>
      <c r="F281" s="30">
        <v>44287</v>
      </c>
      <c r="G281" s="29">
        <v>135272</v>
      </c>
    </row>
    <row r="282" spans="3:7" ht="14.25" customHeight="1">
      <c r="C282" s="29">
        <v>276</v>
      </c>
      <c r="D282" s="31" t="s">
        <v>150</v>
      </c>
      <c r="E282" s="31" t="s">
        <v>146</v>
      </c>
      <c r="F282" s="30">
        <v>44378</v>
      </c>
      <c r="G282" s="29">
        <v>59920</v>
      </c>
    </row>
    <row r="283" spans="3:7" ht="14.25" customHeight="1">
      <c r="C283" s="29">
        <v>277</v>
      </c>
      <c r="D283" s="31" t="s">
        <v>149</v>
      </c>
      <c r="E283" s="31" t="s">
        <v>146</v>
      </c>
      <c r="F283" s="30">
        <v>44470</v>
      </c>
      <c r="G283" s="29">
        <v>163127</v>
      </c>
    </row>
    <row r="284" spans="3:7" ht="14.25" customHeight="1">
      <c r="C284" s="29">
        <v>278</v>
      </c>
      <c r="D284" s="31" t="s">
        <v>150</v>
      </c>
      <c r="E284" s="31" t="s">
        <v>152</v>
      </c>
      <c r="F284" s="30">
        <v>44531</v>
      </c>
      <c r="G284" s="29">
        <v>232472</v>
      </c>
    </row>
    <row r="285" spans="3:7" ht="14.25" customHeight="1">
      <c r="C285" s="29">
        <v>279</v>
      </c>
      <c r="D285" s="31" t="s">
        <v>145</v>
      </c>
      <c r="E285" s="31" t="s">
        <v>146</v>
      </c>
      <c r="F285" s="30">
        <v>44501</v>
      </c>
      <c r="G285" s="29">
        <v>28110</v>
      </c>
    </row>
    <row r="286" spans="3:7" ht="14.25" customHeight="1">
      <c r="C286" s="29">
        <v>280</v>
      </c>
      <c r="D286" s="31" t="s">
        <v>145</v>
      </c>
      <c r="E286" s="31" t="s">
        <v>152</v>
      </c>
      <c r="F286" s="30">
        <v>44197</v>
      </c>
      <c r="G286" s="29">
        <v>40778</v>
      </c>
    </row>
    <row r="287" spans="3:7" ht="14.25" customHeight="1">
      <c r="C287" s="29">
        <v>281</v>
      </c>
      <c r="D287" s="31" t="s">
        <v>147</v>
      </c>
      <c r="E287" s="31" t="s">
        <v>151</v>
      </c>
      <c r="F287" s="30">
        <v>44197</v>
      </c>
      <c r="G287" s="29">
        <v>219774</v>
      </c>
    </row>
    <row r="288" spans="3:7" ht="14.25" customHeight="1">
      <c r="C288" s="29">
        <v>282</v>
      </c>
      <c r="D288" s="31" t="s">
        <v>147</v>
      </c>
      <c r="E288" s="31" t="s">
        <v>152</v>
      </c>
      <c r="F288" s="30">
        <v>44409</v>
      </c>
      <c r="G288" s="29">
        <v>216458</v>
      </c>
    </row>
    <row r="289" spans="3:7" ht="14.25" customHeight="1">
      <c r="C289" s="29">
        <v>283</v>
      </c>
      <c r="D289" s="31" t="s">
        <v>147</v>
      </c>
      <c r="E289" s="31" t="s">
        <v>144</v>
      </c>
      <c r="F289" s="30">
        <v>44256</v>
      </c>
      <c r="G289" s="29">
        <v>39973</v>
      </c>
    </row>
    <row r="290" spans="3:7" ht="14.25" customHeight="1">
      <c r="C290" s="29">
        <v>284</v>
      </c>
      <c r="D290" s="31" t="s">
        <v>150</v>
      </c>
      <c r="E290" s="31" t="s">
        <v>148</v>
      </c>
      <c r="F290" s="30">
        <v>44501</v>
      </c>
      <c r="G290" s="29">
        <v>195638</v>
      </c>
    </row>
    <row r="291" spans="3:7" ht="14.25" customHeight="1">
      <c r="C291" s="29">
        <v>285</v>
      </c>
      <c r="D291" s="31" t="s">
        <v>150</v>
      </c>
      <c r="E291" s="31" t="s">
        <v>144</v>
      </c>
      <c r="F291" s="30">
        <v>44197</v>
      </c>
      <c r="G291" s="29">
        <v>256329</v>
      </c>
    </row>
    <row r="292" spans="3:7" ht="14.25" customHeight="1">
      <c r="C292" s="29">
        <v>286</v>
      </c>
      <c r="D292" s="31" t="s">
        <v>147</v>
      </c>
      <c r="E292" s="31" t="s">
        <v>151</v>
      </c>
      <c r="F292" s="30">
        <v>44348</v>
      </c>
      <c r="G292" s="29">
        <v>11238</v>
      </c>
    </row>
    <row r="293" spans="3:7" ht="14.25" customHeight="1">
      <c r="C293" s="29">
        <v>287</v>
      </c>
      <c r="D293" s="31" t="s">
        <v>149</v>
      </c>
      <c r="E293" s="31" t="s">
        <v>144</v>
      </c>
      <c r="F293" s="30">
        <v>44501</v>
      </c>
      <c r="G293" s="29">
        <v>20238</v>
      </c>
    </row>
    <row r="294" spans="3:7" ht="14.25" customHeight="1">
      <c r="C294" s="29">
        <v>288</v>
      </c>
      <c r="D294" s="31" t="s">
        <v>147</v>
      </c>
      <c r="E294" s="31" t="s">
        <v>151</v>
      </c>
      <c r="F294" s="30">
        <v>44378</v>
      </c>
      <c r="G294" s="29">
        <v>226327</v>
      </c>
    </row>
    <row r="295" spans="3:7" ht="14.25" customHeight="1">
      <c r="C295" s="29">
        <v>289</v>
      </c>
      <c r="D295" s="31" t="s">
        <v>150</v>
      </c>
      <c r="E295" s="31" t="s">
        <v>146</v>
      </c>
      <c r="F295" s="30">
        <v>44228</v>
      </c>
      <c r="G295" s="29">
        <v>192728</v>
      </c>
    </row>
    <row r="296" spans="3:7" ht="14.25" customHeight="1">
      <c r="C296" s="29">
        <v>290</v>
      </c>
      <c r="D296" s="31" t="s">
        <v>147</v>
      </c>
      <c r="E296" s="31" t="s">
        <v>146</v>
      </c>
      <c r="F296" s="30">
        <v>44470</v>
      </c>
      <c r="G296" s="29">
        <v>245470</v>
      </c>
    </row>
    <row r="297" spans="3:7" ht="14.25" customHeight="1">
      <c r="C297" s="29">
        <v>291</v>
      </c>
      <c r="D297" s="31" t="s">
        <v>147</v>
      </c>
      <c r="E297" s="31" t="s">
        <v>146</v>
      </c>
      <c r="F297" s="30">
        <v>44440</v>
      </c>
      <c r="G297" s="29">
        <v>12156</v>
      </c>
    </row>
    <row r="298" spans="3:7" ht="14.25" customHeight="1">
      <c r="C298" s="29">
        <v>292</v>
      </c>
      <c r="D298" s="31" t="s">
        <v>149</v>
      </c>
      <c r="E298" s="31" t="s">
        <v>148</v>
      </c>
      <c r="F298" s="30">
        <v>44228</v>
      </c>
      <c r="G298" s="29">
        <v>11682</v>
      </c>
    </row>
    <row r="299" spans="3:7" ht="14.25" customHeight="1">
      <c r="C299" s="29">
        <v>293</v>
      </c>
      <c r="D299" s="31" t="s">
        <v>145</v>
      </c>
      <c r="E299" s="31" t="s">
        <v>152</v>
      </c>
      <c r="F299" s="30">
        <v>44501</v>
      </c>
      <c r="G299" s="29">
        <v>161110</v>
      </c>
    </row>
    <row r="300" spans="3:7" ht="14.25" customHeight="1">
      <c r="C300" s="29">
        <v>294</v>
      </c>
      <c r="D300" s="31" t="s">
        <v>150</v>
      </c>
      <c r="E300" s="31" t="s">
        <v>151</v>
      </c>
      <c r="F300" s="30">
        <v>44256</v>
      </c>
      <c r="G300" s="29">
        <v>155535</v>
      </c>
    </row>
    <row r="301" spans="3:7" ht="14.25" customHeight="1">
      <c r="C301" s="29">
        <v>295</v>
      </c>
      <c r="D301" s="31" t="s">
        <v>150</v>
      </c>
      <c r="E301" s="31" t="s">
        <v>144</v>
      </c>
      <c r="F301" s="30">
        <v>44348</v>
      </c>
      <c r="G301" s="29">
        <v>223894</v>
      </c>
    </row>
    <row r="302" spans="3:7" ht="14.25" customHeight="1">
      <c r="C302" s="29">
        <v>296</v>
      </c>
      <c r="D302" s="31" t="s">
        <v>149</v>
      </c>
      <c r="E302" s="31" t="s">
        <v>151</v>
      </c>
      <c r="F302" s="30">
        <v>44287</v>
      </c>
      <c r="G302" s="29">
        <v>22839</v>
      </c>
    </row>
    <row r="303" spans="3:7" ht="14.25" customHeight="1">
      <c r="C303" s="29">
        <v>297</v>
      </c>
      <c r="D303" s="31" t="s">
        <v>150</v>
      </c>
      <c r="E303" s="31" t="s">
        <v>152</v>
      </c>
      <c r="F303" s="30">
        <v>44348</v>
      </c>
      <c r="G303" s="29">
        <v>-14202</v>
      </c>
    </row>
    <row r="304" spans="3:7" ht="14.25" customHeight="1">
      <c r="C304" s="29">
        <v>298</v>
      </c>
      <c r="D304" s="31" t="s">
        <v>149</v>
      </c>
      <c r="E304" s="31" t="s">
        <v>146</v>
      </c>
      <c r="F304" s="30">
        <v>44440</v>
      </c>
      <c r="G304" s="29">
        <v>98246</v>
      </c>
    </row>
    <row r="305" spans="3:7" ht="14.25" customHeight="1">
      <c r="C305" s="29">
        <v>299</v>
      </c>
      <c r="D305" s="31" t="s">
        <v>147</v>
      </c>
      <c r="E305" s="31" t="s">
        <v>152</v>
      </c>
      <c r="F305" s="30">
        <v>44317</v>
      </c>
      <c r="G305" s="29">
        <v>111998</v>
      </c>
    </row>
    <row r="306" spans="3:7" ht="14.25" customHeight="1">
      <c r="C306" s="29">
        <v>300</v>
      </c>
      <c r="D306" s="31" t="s">
        <v>150</v>
      </c>
      <c r="E306" s="31" t="s">
        <v>146</v>
      </c>
      <c r="F306" s="30">
        <v>44440</v>
      </c>
      <c r="G306" s="29">
        <v>74093</v>
      </c>
    </row>
    <row r="307" spans="3:7" ht="14.25" customHeight="1">
      <c r="C307" s="29">
        <v>301</v>
      </c>
      <c r="D307" s="31" t="s">
        <v>149</v>
      </c>
      <c r="E307" s="31" t="s">
        <v>152</v>
      </c>
      <c r="F307" s="30">
        <v>44501</v>
      </c>
      <c r="G307" s="29">
        <v>40179</v>
      </c>
    </row>
    <row r="308" spans="3:7" ht="14.25" customHeight="1">
      <c r="C308" s="29">
        <v>302</v>
      </c>
      <c r="D308" s="31" t="s">
        <v>145</v>
      </c>
      <c r="E308" s="31" t="s">
        <v>151</v>
      </c>
      <c r="F308" s="30">
        <v>44409</v>
      </c>
      <c r="G308" s="29">
        <v>75634</v>
      </c>
    </row>
    <row r="309" spans="3:7" ht="14.25" customHeight="1">
      <c r="C309" s="29">
        <v>303</v>
      </c>
      <c r="D309" s="31" t="s">
        <v>147</v>
      </c>
      <c r="E309" s="31" t="s">
        <v>152</v>
      </c>
      <c r="F309" s="30">
        <v>44228</v>
      </c>
      <c r="G309" s="29">
        <v>-11610</v>
      </c>
    </row>
    <row r="310" spans="3:7" ht="14.25" customHeight="1">
      <c r="C310" s="29">
        <v>304</v>
      </c>
      <c r="D310" s="31" t="s">
        <v>145</v>
      </c>
      <c r="E310" s="31" t="s">
        <v>152</v>
      </c>
      <c r="F310" s="30">
        <v>44348</v>
      </c>
      <c r="G310" s="29">
        <v>34080</v>
      </c>
    </row>
    <row r="311" spans="3:7" ht="14.25" customHeight="1">
      <c r="C311" s="29">
        <v>305</v>
      </c>
      <c r="D311" s="31" t="s">
        <v>147</v>
      </c>
      <c r="E311" s="31" t="s">
        <v>151</v>
      </c>
      <c r="F311" s="30">
        <v>44317</v>
      </c>
      <c r="G311" s="29">
        <v>239368</v>
      </c>
    </row>
    <row r="312" spans="3:7" ht="14.25" customHeight="1">
      <c r="C312" s="29">
        <v>306</v>
      </c>
      <c r="D312" s="31" t="s">
        <v>149</v>
      </c>
      <c r="E312" s="31" t="s">
        <v>148</v>
      </c>
      <c r="F312" s="30">
        <v>44470</v>
      </c>
      <c r="G312" s="29">
        <v>86076</v>
      </c>
    </row>
    <row r="313" spans="3:7" ht="14.25" customHeight="1">
      <c r="C313" s="29">
        <v>307</v>
      </c>
      <c r="D313" s="31" t="s">
        <v>145</v>
      </c>
      <c r="E313" s="31" t="s">
        <v>146</v>
      </c>
      <c r="F313" s="30">
        <v>44256</v>
      </c>
      <c r="G313" s="29">
        <v>75969</v>
      </c>
    </row>
    <row r="314" spans="3:7" ht="14.25" customHeight="1">
      <c r="C314" s="29">
        <v>308</v>
      </c>
      <c r="D314" s="31" t="s">
        <v>149</v>
      </c>
      <c r="E314" s="31" t="s">
        <v>146</v>
      </c>
      <c r="F314" s="30">
        <v>44378</v>
      </c>
      <c r="G314" s="29">
        <v>-39689</v>
      </c>
    </row>
    <row r="315" spans="3:7" ht="14.25" customHeight="1">
      <c r="C315" s="29">
        <v>309</v>
      </c>
      <c r="D315" s="31" t="s">
        <v>149</v>
      </c>
      <c r="E315" s="31" t="s">
        <v>148</v>
      </c>
      <c r="F315" s="30">
        <v>44287</v>
      </c>
      <c r="G315" s="29">
        <v>51383</v>
      </c>
    </row>
    <row r="316" spans="3:7" ht="14.25" customHeight="1">
      <c r="C316" s="29">
        <v>310</v>
      </c>
      <c r="D316" s="31" t="s">
        <v>150</v>
      </c>
      <c r="E316" s="31" t="s">
        <v>146</v>
      </c>
      <c r="F316" s="30">
        <v>44378</v>
      </c>
      <c r="G316" s="29">
        <v>252080</v>
      </c>
    </row>
    <row r="317" spans="3:7" ht="14.25" customHeight="1">
      <c r="C317" s="29">
        <v>311</v>
      </c>
      <c r="D317" s="31" t="s">
        <v>149</v>
      </c>
      <c r="E317" s="31" t="s">
        <v>148</v>
      </c>
      <c r="F317" s="30">
        <v>44378</v>
      </c>
      <c r="G317" s="29">
        <v>176652</v>
      </c>
    </row>
    <row r="318" spans="3:7" ht="14.25" customHeight="1">
      <c r="C318" s="29">
        <v>312</v>
      </c>
      <c r="D318" s="31" t="s">
        <v>147</v>
      </c>
      <c r="E318" s="31" t="s">
        <v>146</v>
      </c>
      <c r="F318" s="30">
        <v>44317</v>
      </c>
      <c r="G318" s="29">
        <v>125616</v>
      </c>
    </row>
    <row r="319" spans="3:7" ht="14.25" customHeight="1">
      <c r="C319" s="29">
        <v>313</v>
      </c>
      <c r="D319" s="31" t="s">
        <v>145</v>
      </c>
      <c r="E319" s="31" t="s">
        <v>144</v>
      </c>
      <c r="F319" s="30">
        <v>44409</v>
      </c>
      <c r="G319" s="29">
        <v>7269</v>
      </c>
    </row>
    <row r="320" spans="3:7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8BF3-E7A8-4D0A-9853-80DCEBEC79FC}">
  <sheetPr filterMode="1"/>
  <dimension ref="C4:D317"/>
  <sheetViews>
    <sheetView workbookViewId="0">
      <selection activeCell="T20" sqref="T20"/>
    </sheetView>
  </sheetViews>
  <sheetFormatPr defaultRowHeight="14.4"/>
  <cols>
    <col min="1" max="2" width="8.88671875" style="28"/>
    <col min="3" max="3" width="21.109375" style="28" customWidth="1"/>
    <col min="4" max="4" width="23.21875" style="28" customWidth="1"/>
    <col min="5" max="16384" width="8.88671875" style="28"/>
  </cols>
  <sheetData>
    <row r="4" spans="3:4">
      <c r="C4" s="31" t="s">
        <v>156</v>
      </c>
      <c r="D4" s="33" t="s">
        <v>155</v>
      </c>
    </row>
    <row r="5" spans="3:4" hidden="1">
      <c r="C5" s="31" t="s">
        <v>151</v>
      </c>
      <c r="D5" s="30">
        <v>44348</v>
      </c>
    </row>
    <row r="6" spans="3:4" hidden="1">
      <c r="C6" s="31" t="s">
        <v>148</v>
      </c>
      <c r="D6" s="30">
        <v>44470</v>
      </c>
    </row>
    <row r="7" spans="3:4" hidden="1">
      <c r="C7" s="31" t="s">
        <v>148</v>
      </c>
      <c r="D7" s="30">
        <v>44256</v>
      </c>
    </row>
    <row r="8" spans="3:4" hidden="1">
      <c r="C8" s="31" t="s">
        <v>144</v>
      </c>
      <c r="D8" s="30">
        <v>44256</v>
      </c>
    </row>
    <row r="9" spans="3:4">
      <c r="C9" s="31" t="s">
        <v>148</v>
      </c>
      <c r="D9" s="30">
        <v>44440</v>
      </c>
    </row>
    <row r="10" spans="3:4" hidden="1">
      <c r="C10" s="31" t="s">
        <v>144</v>
      </c>
      <c r="D10" s="30">
        <v>44348</v>
      </c>
    </row>
    <row r="11" spans="3:4" hidden="1">
      <c r="C11" s="31" t="s">
        <v>146</v>
      </c>
      <c r="D11" s="30">
        <v>44287</v>
      </c>
    </row>
    <row r="12" spans="3:4" hidden="1">
      <c r="C12" s="31" t="s">
        <v>152</v>
      </c>
      <c r="D12" s="30">
        <v>44197</v>
      </c>
    </row>
    <row r="13" spans="3:4" hidden="1">
      <c r="C13" s="31" t="s">
        <v>146</v>
      </c>
      <c r="D13" s="30">
        <v>44197</v>
      </c>
    </row>
    <row r="14" spans="3:4" hidden="1">
      <c r="C14" s="31" t="s">
        <v>146</v>
      </c>
      <c r="D14" s="30">
        <v>44378</v>
      </c>
    </row>
    <row r="15" spans="3:4" hidden="1">
      <c r="C15" s="31" t="s">
        <v>144</v>
      </c>
      <c r="D15" s="30">
        <v>44317</v>
      </c>
    </row>
    <row r="16" spans="3:4" hidden="1">
      <c r="C16" s="31" t="s">
        <v>146</v>
      </c>
      <c r="D16" s="30">
        <v>44470</v>
      </c>
    </row>
    <row r="17" spans="3:4" hidden="1">
      <c r="C17" s="31" t="s">
        <v>148</v>
      </c>
      <c r="D17" s="30">
        <v>44531</v>
      </c>
    </row>
    <row r="18" spans="3:4" hidden="1">
      <c r="C18" s="31" t="s">
        <v>146</v>
      </c>
      <c r="D18" s="30">
        <v>44531</v>
      </c>
    </row>
    <row r="19" spans="3:4" hidden="1">
      <c r="C19" s="31" t="s">
        <v>144</v>
      </c>
      <c r="D19" s="30">
        <v>44348</v>
      </c>
    </row>
    <row r="20" spans="3:4" hidden="1">
      <c r="C20" s="31" t="s">
        <v>151</v>
      </c>
      <c r="D20" s="30">
        <v>44470</v>
      </c>
    </row>
    <row r="21" spans="3:4" hidden="1">
      <c r="C21" s="31" t="s">
        <v>144</v>
      </c>
      <c r="D21" s="30">
        <v>44531</v>
      </c>
    </row>
    <row r="22" spans="3:4" hidden="1">
      <c r="C22" s="31" t="s">
        <v>146</v>
      </c>
      <c r="D22" s="30">
        <v>44501</v>
      </c>
    </row>
    <row r="23" spans="3:4" hidden="1">
      <c r="C23" s="31" t="s">
        <v>151</v>
      </c>
      <c r="D23" s="30">
        <v>44501</v>
      </c>
    </row>
    <row r="24" spans="3:4" hidden="1">
      <c r="C24" s="31" t="s">
        <v>152</v>
      </c>
      <c r="D24" s="30">
        <v>44228</v>
      </c>
    </row>
    <row r="25" spans="3:4" hidden="1">
      <c r="C25" s="31" t="s">
        <v>146</v>
      </c>
      <c r="D25" s="30">
        <v>44197</v>
      </c>
    </row>
    <row r="26" spans="3:4" hidden="1">
      <c r="C26" s="31" t="s">
        <v>144</v>
      </c>
      <c r="D26" s="30">
        <v>44197</v>
      </c>
    </row>
    <row r="27" spans="3:4" hidden="1">
      <c r="C27" s="31" t="s">
        <v>151</v>
      </c>
      <c r="D27" s="30">
        <v>44409</v>
      </c>
    </row>
    <row r="28" spans="3:4" hidden="1">
      <c r="C28" s="31" t="s">
        <v>146</v>
      </c>
      <c r="D28" s="30">
        <v>44470</v>
      </c>
    </row>
    <row r="29" spans="3:4">
      <c r="C29" s="31" t="s">
        <v>148</v>
      </c>
      <c r="D29" s="30">
        <v>44440</v>
      </c>
    </row>
    <row r="30" spans="3:4" hidden="1">
      <c r="C30" s="31" t="s">
        <v>148</v>
      </c>
      <c r="D30" s="30">
        <v>44197</v>
      </c>
    </row>
    <row r="31" spans="3:4" hidden="1">
      <c r="C31" s="31" t="s">
        <v>152</v>
      </c>
      <c r="D31" s="30">
        <v>44317</v>
      </c>
    </row>
    <row r="32" spans="3:4" hidden="1">
      <c r="C32" s="31" t="s">
        <v>152</v>
      </c>
      <c r="D32" s="30">
        <v>44378</v>
      </c>
    </row>
    <row r="33" spans="3:4" hidden="1">
      <c r="C33" s="31" t="s">
        <v>152</v>
      </c>
      <c r="D33" s="30">
        <v>44531</v>
      </c>
    </row>
    <row r="34" spans="3:4" hidden="1">
      <c r="C34" s="31" t="s">
        <v>152</v>
      </c>
      <c r="D34" s="30">
        <v>44378</v>
      </c>
    </row>
    <row r="35" spans="3:4">
      <c r="C35" s="31" t="s">
        <v>148</v>
      </c>
      <c r="D35" s="30">
        <v>44409</v>
      </c>
    </row>
    <row r="36" spans="3:4" hidden="1">
      <c r="C36" s="31" t="s">
        <v>148</v>
      </c>
      <c r="D36" s="30">
        <v>44531</v>
      </c>
    </row>
    <row r="37" spans="3:4" hidden="1">
      <c r="C37" s="31" t="s">
        <v>151</v>
      </c>
      <c r="D37" s="30">
        <v>44440</v>
      </c>
    </row>
    <row r="38" spans="3:4">
      <c r="C38" s="31" t="s">
        <v>148</v>
      </c>
      <c r="D38" s="30">
        <v>44378</v>
      </c>
    </row>
    <row r="39" spans="3:4" hidden="1">
      <c r="C39" s="31" t="s">
        <v>151</v>
      </c>
      <c r="D39" s="30">
        <v>44197</v>
      </c>
    </row>
    <row r="40" spans="3:4" hidden="1">
      <c r="C40" s="31" t="s">
        <v>152</v>
      </c>
      <c r="D40" s="30">
        <v>44409</v>
      </c>
    </row>
    <row r="41" spans="3:4" hidden="1">
      <c r="C41" s="31" t="s">
        <v>146</v>
      </c>
      <c r="D41" s="30">
        <v>44531</v>
      </c>
    </row>
    <row r="42" spans="3:4" hidden="1">
      <c r="C42" s="31" t="s">
        <v>151</v>
      </c>
      <c r="D42" s="30">
        <v>44531</v>
      </c>
    </row>
    <row r="43" spans="3:4" hidden="1">
      <c r="C43" s="31" t="s">
        <v>152</v>
      </c>
      <c r="D43" s="30">
        <v>44531</v>
      </c>
    </row>
    <row r="44" spans="3:4" hidden="1">
      <c r="C44" s="31" t="s">
        <v>151</v>
      </c>
      <c r="D44" s="30">
        <v>44409</v>
      </c>
    </row>
    <row r="45" spans="3:4" hidden="1">
      <c r="C45" s="31" t="s">
        <v>151</v>
      </c>
      <c r="D45" s="30">
        <v>44287</v>
      </c>
    </row>
    <row r="46" spans="3:4" hidden="1">
      <c r="C46" s="31" t="s">
        <v>151</v>
      </c>
      <c r="D46" s="30">
        <v>44287</v>
      </c>
    </row>
    <row r="47" spans="3:4" hidden="1">
      <c r="C47" s="31" t="s">
        <v>144</v>
      </c>
      <c r="D47" s="30">
        <v>44409</v>
      </c>
    </row>
    <row r="48" spans="3:4" hidden="1">
      <c r="C48" s="31" t="s">
        <v>151</v>
      </c>
      <c r="D48" s="30">
        <v>44470</v>
      </c>
    </row>
    <row r="49" spans="3:4" hidden="1">
      <c r="C49" s="31" t="s">
        <v>144</v>
      </c>
      <c r="D49" s="30">
        <v>44256</v>
      </c>
    </row>
    <row r="50" spans="3:4" hidden="1">
      <c r="C50" s="31" t="s">
        <v>152</v>
      </c>
      <c r="D50" s="30">
        <v>44348</v>
      </c>
    </row>
    <row r="51" spans="3:4" hidden="1">
      <c r="C51" s="31" t="s">
        <v>148</v>
      </c>
      <c r="D51" s="30">
        <v>44197</v>
      </c>
    </row>
    <row r="52" spans="3:4" hidden="1">
      <c r="C52" s="31" t="s">
        <v>146</v>
      </c>
      <c r="D52" s="30">
        <v>44287</v>
      </c>
    </row>
    <row r="53" spans="3:4" hidden="1">
      <c r="C53" s="31" t="s">
        <v>148</v>
      </c>
      <c r="D53" s="30">
        <v>44501</v>
      </c>
    </row>
    <row r="54" spans="3:4" hidden="1">
      <c r="C54" s="31" t="s">
        <v>144</v>
      </c>
      <c r="D54" s="30">
        <v>44531</v>
      </c>
    </row>
    <row r="55" spans="3:4" hidden="1">
      <c r="C55" s="31" t="s">
        <v>152</v>
      </c>
      <c r="D55" s="30">
        <v>44501</v>
      </c>
    </row>
    <row r="56" spans="3:4" hidden="1">
      <c r="C56" s="31" t="s">
        <v>146</v>
      </c>
      <c r="D56" s="30">
        <v>44378</v>
      </c>
    </row>
    <row r="57" spans="3:4" hidden="1">
      <c r="C57" s="31" t="s">
        <v>146</v>
      </c>
      <c r="D57" s="30">
        <v>44348</v>
      </c>
    </row>
    <row r="58" spans="3:4" hidden="1">
      <c r="C58" s="31" t="s">
        <v>151</v>
      </c>
      <c r="D58" s="30">
        <v>44348</v>
      </c>
    </row>
    <row r="59" spans="3:4" hidden="1">
      <c r="C59" s="31" t="s">
        <v>151</v>
      </c>
      <c r="D59" s="30">
        <v>44409</v>
      </c>
    </row>
    <row r="60" spans="3:4" hidden="1">
      <c r="C60" s="31" t="s">
        <v>148</v>
      </c>
      <c r="D60" s="30">
        <v>44348</v>
      </c>
    </row>
    <row r="61" spans="3:4">
      <c r="C61" s="31" t="s">
        <v>148</v>
      </c>
      <c r="D61" s="30">
        <v>44378</v>
      </c>
    </row>
    <row r="62" spans="3:4" hidden="1">
      <c r="C62" s="31" t="s">
        <v>152</v>
      </c>
      <c r="D62" s="30">
        <v>44228</v>
      </c>
    </row>
    <row r="63" spans="3:4" hidden="1">
      <c r="C63" s="31" t="s">
        <v>152</v>
      </c>
      <c r="D63" s="30">
        <v>44317</v>
      </c>
    </row>
    <row r="64" spans="3:4" hidden="1">
      <c r="C64" s="31" t="s">
        <v>152</v>
      </c>
      <c r="D64" s="30">
        <v>44348</v>
      </c>
    </row>
    <row r="65" spans="3:4" hidden="1">
      <c r="C65" s="31" t="s">
        <v>151</v>
      </c>
      <c r="D65" s="30">
        <v>44409</v>
      </c>
    </row>
    <row r="66" spans="3:4" hidden="1">
      <c r="C66" s="31" t="s">
        <v>151</v>
      </c>
      <c r="D66" s="30">
        <v>44256</v>
      </c>
    </row>
    <row r="67" spans="3:4" hidden="1">
      <c r="C67" s="31" t="s">
        <v>148</v>
      </c>
      <c r="D67" s="30">
        <v>44348</v>
      </c>
    </row>
    <row r="68" spans="3:4" hidden="1">
      <c r="C68" s="31" t="s">
        <v>151</v>
      </c>
      <c r="D68" s="30">
        <v>44348</v>
      </c>
    </row>
    <row r="69" spans="3:4" hidden="1">
      <c r="C69" s="31" t="s">
        <v>152</v>
      </c>
      <c r="D69" s="30">
        <v>44501</v>
      </c>
    </row>
    <row r="70" spans="3:4" hidden="1">
      <c r="C70" s="31" t="s">
        <v>151</v>
      </c>
      <c r="D70" s="30">
        <v>44470</v>
      </c>
    </row>
    <row r="71" spans="3:4" hidden="1">
      <c r="C71" s="31" t="s">
        <v>146</v>
      </c>
      <c r="D71" s="30">
        <v>44228</v>
      </c>
    </row>
    <row r="72" spans="3:4" hidden="1">
      <c r="C72" s="31" t="s">
        <v>151</v>
      </c>
      <c r="D72" s="30">
        <v>44228</v>
      </c>
    </row>
    <row r="73" spans="3:4" hidden="1">
      <c r="C73" s="31" t="s">
        <v>146</v>
      </c>
      <c r="D73" s="30">
        <v>44470</v>
      </c>
    </row>
    <row r="74" spans="3:4" hidden="1">
      <c r="C74" s="31" t="s">
        <v>146</v>
      </c>
      <c r="D74" s="30">
        <v>44348</v>
      </c>
    </row>
    <row r="75" spans="3:4" hidden="1">
      <c r="C75" s="31" t="s">
        <v>144</v>
      </c>
      <c r="D75" s="30">
        <v>44348</v>
      </c>
    </row>
    <row r="76" spans="3:4" hidden="1">
      <c r="C76" s="31" t="s">
        <v>151</v>
      </c>
      <c r="D76" s="30">
        <v>44256</v>
      </c>
    </row>
    <row r="77" spans="3:4" hidden="1">
      <c r="C77" s="31" t="s">
        <v>152</v>
      </c>
      <c r="D77" s="30">
        <v>44531</v>
      </c>
    </row>
    <row r="78" spans="3:4" hidden="1">
      <c r="C78" s="31" t="s">
        <v>152</v>
      </c>
      <c r="D78" s="30">
        <v>44348</v>
      </c>
    </row>
    <row r="79" spans="3:4" hidden="1">
      <c r="C79" s="31" t="s">
        <v>152</v>
      </c>
      <c r="D79" s="30">
        <v>44378</v>
      </c>
    </row>
    <row r="80" spans="3:4" hidden="1">
      <c r="C80" s="31" t="s">
        <v>146</v>
      </c>
      <c r="D80" s="30">
        <v>44440</v>
      </c>
    </row>
    <row r="81" spans="3:4" hidden="1">
      <c r="C81" s="31" t="s">
        <v>146</v>
      </c>
      <c r="D81" s="30">
        <v>44378</v>
      </c>
    </row>
    <row r="82" spans="3:4" hidden="1">
      <c r="C82" s="31" t="s">
        <v>151</v>
      </c>
      <c r="D82" s="30">
        <v>44317</v>
      </c>
    </row>
    <row r="83" spans="3:4" hidden="1">
      <c r="C83" s="31" t="s">
        <v>148</v>
      </c>
      <c r="D83" s="30">
        <v>44348</v>
      </c>
    </row>
    <row r="84" spans="3:4" hidden="1">
      <c r="C84" s="31" t="s">
        <v>146</v>
      </c>
      <c r="D84" s="30">
        <v>44470</v>
      </c>
    </row>
    <row r="85" spans="3:4" hidden="1">
      <c r="C85" s="31" t="s">
        <v>144</v>
      </c>
      <c r="D85" s="30">
        <v>44409</v>
      </c>
    </row>
    <row r="86" spans="3:4" hidden="1">
      <c r="C86" s="31" t="s">
        <v>146</v>
      </c>
      <c r="D86" s="30">
        <v>44409</v>
      </c>
    </row>
    <row r="87" spans="3:4" hidden="1">
      <c r="C87" s="31" t="s">
        <v>148</v>
      </c>
      <c r="D87" s="30">
        <v>44501</v>
      </c>
    </row>
    <row r="88" spans="3:4" hidden="1">
      <c r="C88" s="31" t="s">
        <v>146</v>
      </c>
      <c r="D88" s="30">
        <v>44378</v>
      </c>
    </row>
    <row r="89" spans="3:4" hidden="1">
      <c r="C89" s="31" t="s">
        <v>146</v>
      </c>
      <c r="D89" s="30">
        <v>44409</v>
      </c>
    </row>
    <row r="90" spans="3:4" hidden="1">
      <c r="C90" s="31" t="s">
        <v>146</v>
      </c>
      <c r="D90" s="30">
        <v>44531</v>
      </c>
    </row>
    <row r="91" spans="3:4" hidden="1">
      <c r="C91" s="31" t="s">
        <v>152</v>
      </c>
      <c r="D91" s="30">
        <v>44409</v>
      </c>
    </row>
    <row r="92" spans="3:4" hidden="1">
      <c r="C92" s="31" t="s">
        <v>146</v>
      </c>
      <c r="D92" s="30">
        <v>44197</v>
      </c>
    </row>
    <row r="93" spans="3:4" hidden="1">
      <c r="C93" s="31" t="s">
        <v>148</v>
      </c>
      <c r="D93" s="30">
        <v>44501</v>
      </c>
    </row>
    <row r="94" spans="3:4" hidden="1">
      <c r="C94" s="31" t="s">
        <v>146</v>
      </c>
      <c r="D94" s="30">
        <v>44197</v>
      </c>
    </row>
    <row r="95" spans="3:4" hidden="1">
      <c r="C95" s="31" t="s">
        <v>144</v>
      </c>
      <c r="D95" s="30">
        <v>44256</v>
      </c>
    </row>
    <row r="96" spans="3:4" hidden="1">
      <c r="C96" s="31" t="s">
        <v>151</v>
      </c>
      <c r="D96" s="30">
        <v>44531</v>
      </c>
    </row>
    <row r="97" spans="3:4" hidden="1">
      <c r="C97" s="31" t="s">
        <v>146</v>
      </c>
      <c r="D97" s="30">
        <v>44470</v>
      </c>
    </row>
    <row r="98" spans="3:4" hidden="1">
      <c r="C98" s="31" t="s">
        <v>144</v>
      </c>
      <c r="D98" s="30">
        <v>44256</v>
      </c>
    </row>
    <row r="99" spans="3:4" hidden="1">
      <c r="C99" s="31" t="s">
        <v>148</v>
      </c>
      <c r="D99" s="30">
        <v>44470</v>
      </c>
    </row>
    <row r="100" spans="3:4" hidden="1">
      <c r="C100" s="31" t="s">
        <v>152</v>
      </c>
      <c r="D100" s="30">
        <v>44256</v>
      </c>
    </row>
    <row r="101" spans="3:4" hidden="1">
      <c r="C101" s="31" t="s">
        <v>148</v>
      </c>
      <c r="D101" s="30">
        <v>44317</v>
      </c>
    </row>
    <row r="102" spans="3:4" hidden="1">
      <c r="C102" s="31" t="s">
        <v>151</v>
      </c>
      <c r="D102" s="30">
        <v>44228</v>
      </c>
    </row>
    <row r="103" spans="3:4">
      <c r="C103" s="31" t="s">
        <v>148</v>
      </c>
      <c r="D103" s="30">
        <v>44440</v>
      </c>
    </row>
    <row r="104" spans="3:4">
      <c r="C104" s="31" t="s">
        <v>148</v>
      </c>
      <c r="D104" s="30">
        <v>44409</v>
      </c>
    </row>
    <row r="105" spans="3:4" hidden="1">
      <c r="C105" s="31" t="s">
        <v>148</v>
      </c>
      <c r="D105" s="30">
        <v>44470</v>
      </c>
    </row>
    <row r="106" spans="3:4" hidden="1">
      <c r="C106" s="31" t="s">
        <v>151</v>
      </c>
      <c r="D106" s="30">
        <v>44378</v>
      </c>
    </row>
    <row r="107" spans="3:4" hidden="1">
      <c r="C107" s="31" t="s">
        <v>152</v>
      </c>
      <c r="D107" s="30">
        <v>44228</v>
      </c>
    </row>
    <row r="108" spans="3:4" hidden="1">
      <c r="C108" s="31" t="s">
        <v>151</v>
      </c>
      <c r="D108" s="30">
        <v>44348</v>
      </c>
    </row>
    <row r="109" spans="3:4" hidden="1">
      <c r="C109" s="31" t="s">
        <v>146</v>
      </c>
      <c r="D109" s="30">
        <v>44531</v>
      </c>
    </row>
    <row r="110" spans="3:4" hidden="1">
      <c r="C110" s="31" t="s">
        <v>151</v>
      </c>
      <c r="D110" s="30">
        <v>44440</v>
      </c>
    </row>
    <row r="111" spans="3:4" hidden="1">
      <c r="C111" s="31" t="s">
        <v>151</v>
      </c>
      <c r="D111" s="30">
        <v>44228</v>
      </c>
    </row>
    <row r="112" spans="3:4" hidden="1">
      <c r="C112" s="31" t="s">
        <v>146</v>
      </c>
      <c r="D112" s="30">
        <v>44197</v>
      </c>
    </row>
    <row r="113" spans="3:4" hidden="1">
      <c r="C113" s="31" t="s">
        <v>151</v>
      </c>
      <c r="D113" s="30">
        <v>44228</v>
      </c>
    </row>
    <row r="114" spans="3:4" hidden="1">
      <c r="C114" s="31" t="s">
        <v>144</v>
      </c>
      <c r="D114" s="30">
        <v>44501</v>
      </c>
    </row>
    <row r="115" spans="3:4" hidden="1">
      <c r="C115" s="31" t="s">
        <v>144</v>
      </c>
      <c r="D115" s="30">
        <v>44378</v>
      </c>
    </row>
    <row r="116" spans="3:4" hidden="1">
      <c r="C116" s="31" t="s">
        <v>146</v>
      </c>
      <c r="D116" s="30">
        <v>44531</v>
      </c>
    </row>
    <row r="117" spans="3:4">
      <c r="C117" s="31" t="s">
        <v>148</v>
      </c>
      <c r="D117" s="30">
        <v>44378</v>
      </c>
    </row>
    <row r="118" spans="3:4" hidden="1">
      <c r="C118" s="31" t="s">
        <v>148</v>
      </c>
      <c r="D118" s="30">
        <v>44348</v>
      </c>
    </row>
    <row r="119" spans="3:4" hidden="1">
      <c r="C119" s="31" t="s">
        <v>144</v>
      </c>
      <c r="D119" s="30">
        <v>44440</v>
      </c>
    </row>
    <row r="120" spans="3:4" hidden="1">
      <c r="C120" s="31" t="s">
        <v>146</v>
      </c>
      <c r="D120" s="30">
        <v>44348</v>
      </c>
    </row>
    <row r="121" spans="3:4" hidden="1">
      <c r="C121" s="31" t="s">
        <v>148</v>
      </c>
      <c r="D121" s="30">
        <v>44317</v>
      </c>
    </row>
    <row r="122" spans="3:4" hidden="1">
      <c r="C122" s="31" t="s">
        <v>144</v>
      </c>
      <c r="D122" s="30">
        <v>44409</v>
      </c>
    </row>
    <row r="123" spans="3:4" hidden="1">
      <c r="C123" s="31" t="s">
        <v>152</v>
      </c>
      <c r="D123" s="30">
        <v>44409</v>
      </c>
    </row>
    <row r="124" spans="3:4" hidden="1">
      <c r="C124" s="31" t="s">
        <v>144</v>
      </c>
      <c r="D124" s="30">
        <v>44409</v>
      </c>
    </row>
    <row r="125" spans="3:4" hidden="1">
      <c r="C125" s="31" t="s">
        <v>151</v>
      </c>
      <c r="D125" s="30">
        <v>44440</v>
      </c>
    </row>
    <row r="126" spans="3:4" hidden="1">
      <c r="C126" s="31" t="s">
        <v>152</v>
      </c>
      <c r="D126" s="30">
        <v>44531</v>
      </c>
    </row>
    <row r="127" spans="3:4" hidden="1">
      <c r="C127" s="31" t="s">
        <v>148</v>
      </c>
      <c r="D127" s="30">
        <v>44348</v>
      </c>
    </row>
    <row r="128" spans="3:4" hidden="1">
      <c r="C128" s="31" t="s">
        <v>151</v>
      </c>
      <c r="D128" s="30">
        <v>44287</v>
      </c>
    </row>
    <row r="129" spans="3:4" hidden="1">
      <c r="C129" s="31" t="s">
        <v>148</v>
      </c>
      <c r="D129" s="30">
        <v>44531</v>
      </c>
    </row>
    <row r="130" spans="3:4" hidden="1">
      <c r="C130" s="31" t="s">
        <v>144</v>
      </c>
      <c r="D130" s="30">
        <v>44531</v>
      </c>
    </row>
    <row r="131" spans="3:4" hidden="1">
      <c r="C131" s="31" t="s">
        <v>152</v>
      </c>
      <c r="D131" s="30">
        <v>44228</v>
      </c>
    </row>
    <row r="132" spans="3:4" hidden="1">
      <c r="C132" s="31" t="s">
        <v>144</v>
      </c>
      <c r="D132" s="30">
        <v>44317</v>
      </c>
    </row>
    <row r="133" spans="3:4" hidden="1">
      <c r="C133" s="31" t="s">
        <v>152</v>
      </c>
      <c r="D133" s="30">
        <v>44470</v>
      </c>
    </row>
    <row r="134" spans="3:4" hidden="1">
      <c r="C134" s="31" t="s">
        <v>152</v>
      </c>
      <c r="D134" s="30">
        <v>44228</v>
      </c>
    </row>
    <row r="135" spans="3:4" hidden="1">
      <c r="C135" s="31" t="s">
        <v>146</v>
      </c>
      <c r="D135" s="30">
        <v>44287</v>
      </c>
    </row>
    <row r="136" spans="3:4" hidden="1">
      <c r="C136" s="31" t="s">
        <v>146</v>
      </c>
      <c r="D136" s="30">
        <v>44440</v>
      </c>
    </row>
    <row r="137" spans="3:4" hidden="1">
      <c r="C137" s="31" t="s">
        <v>148</v>
      </c>
      <c r="D137" s="30">
        <v>44197</v>
      </c>
    </row>
    <row r="138" spans="3:4" hidden="1">
      <c r="C138" s="31" t="s">
        <v>148</v>
      </c>
      <c r="D138" s="30">
        <v>44348</v>
      </c>
    </row>
    <row r="139" spans="3:4" hidden="1">
      <c r="C139" s="31" t="s">
        <v>146</v>
      </c>
      <c r="D139" s="30">
        <v>44531</v>
      </c>
    </row>
    <row r="140" spans="3:4" hidden="1">
      <c r="C140" s="31" t="s">
        <v>151</v>
      </c>
      <c r="D140" s="30">
        <v>44470</v>
      </c>
    </row>
    <row r="141" spans="3:4" hidden="1">
      <c r="C141" s="31" t="s">
        <v>151</v>
      </c>
      <c r="D141" s="30">
        <v>44228</v>
      </c>
    </row>
    <row r="142" spans="3:4">
      <c r="C142" s="31" t="s">
        <v>148</v>
      </c>
      <c r="D142" s="30">
        <v>44378</v>
      </c>
    </row>
    <row r="143" spans="3:4" hidden="1">
      <c r="C143" s="31" t="s">
        <v>151</v>
      </c>
      <c r="D143" s="30">
        <v>44440</v>
      </c>
    </row>
    <row r="144" spans="3:4" hidden="1">
      <c r="C144" s="31" t="s">
        <v>144</v>
      </c>
      <c r="D144" s="30">
        <v>44228</v>
      </c>
    </row>
    <row r="145" spans="3:4" hidden="1">
      <c r="C145" s="31" t="s">
        <v>151</v>
      </c>
      <c r="D145" s="30">
        <v>44470</v>
      </c>
    </row>
    <row r="146" spans="3:4" hidden="1">
      <c r="C146" s="31" t="s">
        <v>152</v>
      </c>
      <c r="D146" s="30">
        <v>44409</v>
      </c>
    </row>
    <row r="147" spans="3:4" hidden="1">
      <c r="C147" s="31" t="s">
        <v>152</v>
      </c>
      <c r="D147" s="30">
        <v>44317</v>
      </c>
    </row>
    <row r="148" spans="3:4" hidden="1">
      <c r="C148" s="31" t="s">
        <v>148</v>
      </c>
      <c r="D148" s="30">
        <v>44287</v>
      </c>
    </row>
    <row r="149" spans="3:4" hidden="1">
      <c r="C149" s="31" t="s">
        <v>152</v>
      </c>
      <c r="D149" s="30">
        <v>44378</v>
      </c>
    </row>
    <row r="150" spans="3:4" hidden="1">
      <c r="C150" s="31" t="s">
        <v>144</v>
      </c>
      <c r="D150" s="30">
        <v>44317</v>
      </c>
    </row>
    <row r="151" spans="3:4" hidden="1">
      <c r="C151" s="31" t="s">
        <v>144</v>
      </c>
      <c r="D151" s="30">
        <v>44197</v>
      </c>
    </row>
    <row r="152" spans="3:4" hidden="1">
      <c r="C152" s="31" t="s">
        <v>151</v>
      </c>
      <c r="D152" s="30">
        <v>44409</v>
      </c>
    </row>
    <row r="153" spans="3:4" hidden="1">
      <c r="C153" s="31" t="s">
        <v>152</v>
      </c>
      <c r="D153" s="30">
        <v>44287</v>
      </c>
    </row>
    <row r="154" spans="3:4" hidden="1">
      <c r="C154" s="31" t="s">
        <v>146</v>
      </c>
      <c r="D154" s="30">
        <v>44440</v>
      </c>
    </row>
    <row r="155" spans="3:4">
      <c r="C155" s="31" t="s">
        <v>148</v>
      </c>
      <c r="D155" s="30">
        <v>44378</v>
      </c>
    </row>
    <row r="156" spans="3:4" hidden="1">
      <c r="C156" s="31" t="s">
        <v>144</v>
      </c>
      <c r="D156" s="30">
        <v>44228</v>
      </c>
    </row>
    <row r="157" spans="3:4" hidden="1">
      <c r="C157" s="31" t="s">
        <v>144</v>
      </c>
      <c r="D157" s="30">
        <v>44531</v>
      </c>
    </row>
    <row r="158" spans="3:4" hidden="1">
      <c r="C158" s="31" t="s">
        <v>144</v>
      </c>
      <c r="D158" s="30">
        <v>44287</v>
      </c>
    </row>
    <row r="159" spans="3:4" hidden="1">
      <c r="C159" s="31" t="s">
        <v>151</v>
      </c>
      <c r="D159" s="30">
        <v>44228</v>
      </c>
    </row>
    <row r="160" spans="3:4" hidden="1">
      <c r="C160" s="31" t="s">
        <v>148</v>
      </c>
      <c r="D160" s="30">
        <v>44348</v>
      </c>
    </row>
    <row r="161" spans="3:4" hidden="1">
      <c r="C161" s="31" t="s">
        <v>146</v>
      </c>
      <c r="D161" s="30">
        <v>44287</v>
      </c>
    </row>
    <row r="162" spans="3:4" hidden="1">
      <c r="C162" s="31" t="s">
        <v>152</v>
      </c>
      <c r="D162" s="30">
        <v>44287</v>
      </c>
    </row>
    <row r="163" spans="3:4" hidden="1">
      <c r="C163" s="31" t="s">
        <v>146</v>
      </c>
      <c r="D163" s="30">
        <v>44197</v>
      </c>
    </row>
    <row r="164" spans="3:4" hidden="1">
      <c r="C164" s="31" t="s">
        <v>152</v>
      </c>
      <c r="D164" s="30">
        <v>44197</v>
      </c>
    </row>
    <row r="165" spans="3:4" hidden="1">
      <c r="C165" s="31" t="s">
        <v>144</v>
      </c>
      <c r="D165" s="30">
        <v>44197</v>
      </c>
    </row>
    <row r="166" spans="3:4" hidden="1">
      <c r="C166" s="31" t="s">
        <v>151</v>
      </c>
      <c r="D166" s="30">
        <v>44287</v>
      </c>
    </row>
    <row r="167" spans="3:4" hidden="1">
      <c r="C167" s="31" t="s">
        <v>146</v>
      </c>
      <c r="D167" s="30">
        <v>44256</v>
      </c>
    </row>
    <row r="168" spans="3:4" hidden="1">
      <c r="C168" s="31" t="s">
        <v>148</v>
      </c>
      <c r="D168" s="30">
        <v>44531</v>
      </c>
    </row>
    <row r="169" spans="3:4" hidden="1">
      <c r="C169" s="31" t="s">
        <v>151</v>
      </c>
      <c r="D169" s="30">
        <v>44317</v>
      </c>
    </row>
    <row r="170" spans="3:4" hidden="1">
      <c r="C170" s="31" t="s">
        <v>152</v>
      </c>
      <c r="D170" s="30">
        <v>44378</v>
      </c>
    </row>
    <row r="171" spans="3:4" hidden="1">
      <c r="C171" s="31" t="s">
        <v>148</v>
      </c>
      <c r="D171" s="30">
        <v>44317</v>
      </c>
    </row>
    <row r="172" spans="3:4">
      <c r="C172" s="31" t="s">
        <v>148</v>
      </c>
      <c r="D172" s="30">
        <v>44378</v>
      </c>
    </row>
    <row r="173" spans="3:4" hidden="1">
      <c r="C173" s="31" t="s">
        <v>148</v>
      </c>
      <c r="D173" s="30">
        <v>44287</v>
      </c>
    </row>
    <row r="174" spans="3:4" hidden="1">
      <c r="C174" s="31" t="s">
        <v>148</v>
      </c>
      <c r="D174" s="30">
        <v>44348</v>
      </c>
    </row>
    <row r="175" spans="3:4" hidden="1">
      <c r="C175" s="31" t="s">
        <v>146</v>
      </c>
      <c r="D175" s="30">
        <v>44470</v>
      </c>
    </row>
    <row r="176" spans="3:4" hidden="1">
      <c r="C176" s="31" t="s">
        <v>146</v>
      </c>
      <c r="D176" s="30">
        <v>44197</v>
      </c>
    </row>
    <row r="177" spans="3:4" hidden="1">
      <c r="C177" s="31" t="s">
        <v>152</v>
      </c>
      <c r="D177" s="30">
        <v>44531</v>
      </c>
    </row>
    <row r="178" spans="3:4" hidden="1">
      <c r="C178" s="31" t="s">
        <v>151</v>
      </c>
      <c r="D178" s="30">
        <v>44228</v>
      </c>
    </row>
    <row r="179" spans="3:4" hidden="1">
      <c r="C179" s="31" t="s">
        <v>152</v>
      </c>
      <c r="D179" s="30">
        <v>44197</v>
      </c>
    </row>
    <row r="180" spans="3:4" hidden="1">
      <c r="C180" s="31" t="s">
        <v>148</v>
      </c>
      <c r="D180" s="30">
        <v>44287</v>
      </c>
    </row>
    <row r="181" spans="3:4" hidden="1">
      <c r="C181" s="31" t="s">
        <v>144</v>
      </c>
      <c r="D181" s="30">
        <v>44287</v>
      </c>
    </row>
    <row r="182" spans="3:4" hidden="1">
      <c r="C182" s="31" t="s">
        <v>144</v>
      </c>
      <c r="D182" s="30">
        <v>44256</v>
      </c>
    </row>
    <row r="183" spans="3:4" hidden="1">
      <c r="C183" s="31" t="s">
        <v>144</v>
      </c>
      <c r="D183" s="30">
        <v>44228</v>
      </c>
    </row>
    <row r="184" spans="3:4" hidden="1">
      <c r="C184" s="31" t="s">
        <v>144</v>
      </c>
      <c r="D184" s="30">
        <v>44317</v>
      </c>
    </row>
    <row r="185" spans="3:4" hidden="1">
      <c r="C185" s="31" t="s">
        <v>152</v>
      </c>
      <c r="D185" s="30">
        <v>44470</v>
      </c>
    </row>
    <row r="186" spans="3:4" hidden="1">
      <c r="C186" s="31" t="s">
        <v>148</v>
      </c>
      <c r="D186" s="30">
        <v>44317</v>
      </c>
    </row>
    <row r="187" spans="3:4" hidden="1">
      <c r="C187" s="31" t="s">
        <v>144</v>
      </c>
      <c r="D187" s="30">
        <v>44287</v>
      </c>
    </row>
    <row r="188" spans="3:4" hidden="1">
      <c r="C188" s="31" t="s">
        <v>146</v>
      </c>
      <c r="D188" s="30">
        <v>44287</v>
      </c>
    </row>
    <row r="189" spans="3:4" hidden="1">
      <c r="C189" s="31" t="s">
        <v>152</v>
      </c>
      <c r="D189" s="30">
        <v>44317</v>
      </c>
    </row>
    <row r="190" spans="3:4" hidden="1">
      <c r="C190" s="31" t="s">
        <v>151</v>
      </c>
      <c r="D190" s="30">
        <v>44287</v>
      </c>
    </row>
    <row r="191" spans="3:4" hidden="1">
      <c r="C191" s="31" t="s">
        <v>146</v>
      </c>
      <c r="D191" s="30">
        <v>44409</v>
      </c>
    </row>
    <row r="192" spans="3:4" hidden="1">
      <c r="C192" s="31" t="s">
        <v>146</v>
      </c>
      <c r="D192" s="30">
        <v>44440</v>
      </c>
    </row>
    <row r="193" spans="3:4" hidden="1">
      <c r="C193" s="31" t="s">
        <v>148</v>
      </c>
      <c r="D193" s="30">
        <v>44228</v>
      </c>
    </row>
    <row r="194" spans="3:4" hidden="1">
      <c r="C194" s="31" t="s">
        <v>148</v>
      </c>
      <c r="D194" s="30">
        <v>44228</v>
      </c>
    </row>
    <row r="195" spans="3:4" hidden="1">
      <c r="C195" s="31" t="s">
        <v>151</v>
      </c>
      <c r="D195" s="30">
        <v>44287</v>
      </c>
    </row>
    <row r="196" spans="3:4" hidden="1">
      <c r="C196" s="31" t="s">
        <v>144</v>
      </c>
      <c r="D196" s="30">
        <v>44378</v>
      </c>
    </row>
    <row r="197" spans="3:4" hidden="1">
      <c r="C197" s="31" t="s">
        <v>144</v>
      </c>
      <c r="D197" s="30">
        <v>44531</v>
      </c>
    </row>
    <row r="198" spans="3:4" hidden="1">
      <c r="C198" s="31" t="s">
        <v>144</v>
      </c>
      <c r="D198" s="30">
        <v>44197</v>
      </c>
    </row>
    <row r="199" spans="3:4" hidden="1">
      <c r="C199" s="31" t="s">
        <v>146</v>
      </c>
      <c r="D199" s="30">
        <v>44531</v>
      </c>
    </row>
    <row r="200" spans="3:4" hidden="1">
      <c r="C200" s="31" t="s">
        <v>146</v>
      </c>
      <c r="D200" s="30">
        <v>44378</v>
      </c>
    </row>
    <row r="201" spans="3:4" hidden="1">
      <c r="C201" s="31" t="s">
        <v>152</v>
      </c>
      <c r="D201" s="30">
        <v>44348</v>
      </c>
    </row>
    <row r="202" spans="3:4" hidden="1">
      <c r="C202" s="31" t="s">
        <v>151</v>
      </c>
      <c r="D202" s="30">
        <v>44378</v>
      </c>
    </row>
    <row r="203" spans="3:4" hidden="1">
      <c r="C203" s="31" t="s">
        <v>146</v>
      </c>
      <c r="D203" s="30">
        <v>44287</v>
      </c>
    </row>
    <row r="204" spans="3:4" hidden="1">
      <c r="C204" s="31" t="s">
        <v>146</v>
      </c>
      <c r="D204" s="30">
        <v>44409</v>
      </c>
    </row>
    <row r="205" spans="3:4" hidden="1">
      <c r="C205" s="31" t="s">
        <v>151</v>
      </c>
      <c r="D205" s="30">
        <v>44409</v>
      </c>
    </row>
    <row r="206" spans="3:4" hidden="1">
      <c r="C206" s="31" t="s">
        <v>144</v>
      </c>
      <c r="D206" s="30">
        <v>44409</v>
      </c>
    </row>
    <row r="207" spans="3:4" hidden="1">
      <c r="C207" s="31" t="s">
        <v>148</v>
      </c>
      <c r="D207" s="30">
        <v>44531</v>
      </c>
    </row>
    <row r="208" spans="3:4" hidden="1">
      <c r="C208" s="31" t="s">
        <v>151</v>
      </c>
      <c r="D208" s="30">
        <v>44470</v>
      </c>
    </row>
    <row r="209" spans="3:4" hidden="1">
      <c r="C209" s="31" t="s">
        <v>151</v>
      </c>
      <c r="D209" s="30">
        <v>44228</v>
      </c>
    </row>
    <row r="210" spans="3:4" hidden="1">
      <c r="C210" s="31" t="s">
        <v>144</v>
      </c>
      <c r="D210" s="30">
        <v>44378</v>
      </c>
    </row>
    <row r="211" spans="3:4">
      <c r="C211" s="31" t="s">
        <v>148</v>
      </c>
      <c r="D211" s="30">
        <v>44440</v>
      </c>
    </row>
    <row r="212" spans="3:4" hidden="1">
      <c r="C212" s="31" t="s">
        <v>144</v>
      </c>
      <c r="D212" s="30">
        <v>44197</v>
      </c>
    </row>
    <row r="213" spans="3:4" hidden="1">
      <c r="C213" s="31" t="s">
        <v>144</v>
      </c>
      <c r="D213" s="30">
        <v>44256</v>
      </c>
    </row>
    <row r="214" spans="3:4" hidden="1">
      <c r="C214" s="31" t="s">
        <v>152</v>
      </c>
      <c r="D214" s="30">
        <v>44228</v>
      </c>
    </row>
    <row r="215" spans="3:4" hidden="1">
      <c r="C215" s="31" t="s">
        <v>144</v>
      </c>
      <c r="D215" s="30">
        <v>44440</v>
      </c>
    </row>
    <row r="216" spans="3:4" hidden="1">
      <c r="C216" s="31" t="s">
        <v>144</v>
      </c>
      <c r="D216" s="30">
        <v>44531</v>
      </c>
    </row>
    <row r="217" spans="3:4" hidden="1">
      <c r="C217" s="31" t="s">
        <v>146</v>
      </c>
      <c r="D217" s="30">
        <v>44531</v>
      </c>
    </row>
    <row r="218" spans="3:4" hidden="1">
      <c r="C218" s="31" t="s">
        <v>151</v>
      </c>
      <c r="D218" s="30">
        <v>44348</v>
      </c>
    </row>
    <row r="219" spans="3:4" hidden="1">
      <c r="C219" s="31" t="s">
        <v>144</v>
      </c>
      <c r="D219" s="30">
        <v>44317</v>
      </c>
    </row>
    <row r="220" spans="3:4" hidden="1">
      <c r="C220" s="31" t="s">
        <v>146</v>
      </c>
      <c r="D220" s="30">
        <v>44409</v>
      </c>
    </row>
    <row r="221" spans="3:4" hidden="1">
      <c r="C221" s="31" t="s">
        <v>148</v>
      </c>
      <c r="D221" s="30">
        <v>44348</v>
      </c>
    </row>
    <row r="222" spans="3:4" hidden="1">
      <c r="C222" s="31" t="s">
        <v>151</v>
      </c>
      <c r="D222" s="30">
        <v>44348</v>
      </c>
    </row>
    <row r="223" spans="3:4" hidden="1">
      <c r="C223" s="31" t="s">
        <v>151</v>
      </c>
      <c r="D223" s="30">
        <v>44228</v>
      </c>
    </row>
    <row r="224" spans="3:4" hidden="1">
      <c r="C224" s="31" t="s">
        <v>148</v>
      </c>
      <c r="D224" s="30">
        <v>44287</v>
      </c>
    </row>
    <row r="225" spans="3:4" hidden="1">
      <c r="C225" s="31" t="s">
        <v>148</v>
      </c>
      <c r="D225" s="30">
        <v>44287</v>
      </c>
    </row>
    <row r="226" spans="3:4" hidden="1">
      <c r="C226" s="31" t="s">
        <v>148</v>
      </c>
      <c r="D226" s="30">
        <v>44317</v>
      </c>
    </row>
    <row r="227" spans="3:4" hidden="1">
      <c r="C227" s="31" t="s">
        <v>151</v>
      </c>
      <c r="D227" s="30">
        <v>44409</v>
      </c>
    </row>
    <row r="228" spans="3:4" hidden="1">
      <c r="C228" s="31" t="s">
        <v>151</v>
      </c>
      <c r="D228" s="30">
        <v>44317</v>
      </c>
    </row>
    <row r="229" spans="3:4" hidden="1">
      <c r="C229" s="31" t="s">
        <v>152</v>
      </c>
      <c r="D229" s="30">
        <v>44228</v>
      </c>
    </row>
    <row r="230" spans="3:4" hidden="1">
      <c r="C230" s="31" t="s">
        <v>151</v>
      </c>
      <c r="D230" s="30">
        <v>44228</v>
      </c>
    </row>
    <row r="231" spans="3:4" hidden="1">
      <c r="C231" s="31" t="s">
        <v>152</v>
      </c>
      <c r="D231" s="30">
        <v>44287</v>
      </c>
    </row>
    <row r="232" spans="3:4" hidden="1">
      <c r="C232" s="31" t="s">
        <v>146</v>
      </c>
      <c r="D232" s="30">
        <v>44287</v>
      </c>
    </row>
    <row r="233" spans="3:4" hidden="1">
      <c r="C233" s="31" t="s">
        <v>148</v>
      </c>
      <c r="D233" s="30">
        <v>44531</v>
      </c>
    </row>
    <row r="234" spans="3:4" hidden="1">
      <c r="C234" s="31" t="s">
        <v>144</v>
      </c>
      <c r="D234" s="30">
        <v>44256</v>
      </c>
    </row>
    <row r="235" spans="3:4" hidden="1">
      <c r="C235" s="31" t="s">
        <v>148</v>
      </c>
      <c r="D235" s="30">
        <v>44501</v>
      </c>
    </row>
    <row r="236" spans="3:4" hidden="1">
      <c r="C236" s="31" t="s">
        <v>151</v>
      </c>
      <c r="D236" s="30">
        <v>44440</v>
      </c>
    </row>
    <row r="237" spans="3:4" hidden="1">
      <c r="C237" s="31" t="s">
        <v>151</v>
      </c>
      <c r="D237" s="30">
        <v>44378</v>
      </c>
    </row>
    <row r="238" spans="3:4" hidden="1">
      <c r="C238" s="31" t="s">
        <v>148</v>
      </c>
      <c r="D238" s="30">
        <v>44470</v>
      </c>
    </row>
    <row r="239" spans="3:4" hidden="1">
      <c r="C239" s="31" t="s">
        <v>148</v>
      </c>
      <c r="D239" s="30">
        <v>44470</v>
      </c>
    </row>
    <row r="240" spans="3:4" hidden="1">
      <c r="C240" s="31" t="s">
        <v>148</v>
      </c>
      <c r="D240" s="30">
        <v>44531</v>
      </c>
    </row>
    <row r="241" spans="3:4" hidden="1">
      <c r="C241" s="31" t="s">
        <v>144</v>
      </c>
      <c r="D241" s="30">
        <v>44256</v>
      </c>
    </row>
    <row r="242" spans="3:4" hidden="1">
      <c r="C242" s="31" t="s">
        <v>148</v>
      </c>
      <c r="D242" s="30">
        <v>44256</v>
      </c>
    </row>
    <row r="243" spans="3:4" hidden="1">
      <c r="C243" s="31" t="s">
        <v>152</v>
      </c>
      <c r="D243" s="30">
        <v>44440</v>
      </c>
    </row>
    <row r="244" spans="3:4" hidden="1">
      <c r="C244" s="31" t="s">
        <v>148</v>
      </c>
      <c r="D244" s="30">
        <v>44197</v>
      </c>
    </row>
    <row r="245" spans="3:4" hidden="1">
      <c r="C245" s="31" t="s">
        <v>144</v>
      </c>
      <c r="D245" s="30">
        <v>44501</v>
      </c>
    </row>
    <row r="246" spans="3:4" hidden="1">
      <c r="C246" s="31" t="s">
        <v>144</v>
      </c>
      <c r="D246" s="30">
        <v>44197</v>
      </c>
    </row>
    <row r="247" spans="3:4" hidden="1">
      <c r="C247" s="31" t="s">
        <v>152</v>
      </c>
      <c r="D247" s="30">
        <v>44501</v>
      </c>
    </row>
    <row r="248" spans="3:4" hidden="1">
      <c r="C248" s="31" t="s">
        <v>151</v>
      </c>
      <c r="D248" s="30">
        <v>44501</v>
      </c>
    </row>
    <row r="249" spans="3:4" hidden="1">
      <c r="C249" s="31" t="s">
        <v>151</v>
      </c>
      <c r="D249" s="30">
        <v>44531</v>
      </c>
    </row>
    <row r="250" spans="3:4" hidden="1">
      <c r="C250" s="31" t="s">
        <v>146</v>
      </c>
      <c r="D250" s="30">
        <v>44470</v>
      </c>
    </row>
    <row r="251" spans="3:4" hidden="1">
      <c r="C251" s="31" t="s">
        <v>146</v>
      </c>
      <c r="D251" s="30">
        <v>44440</v>
      </c>
    </row>
    <row r="252" spans="3:4">
      <c r="C252" s="31" t="s">
        <v>148</v>
      </c>
      <c r="D252" s="30">
        <v>44378</v>
      </c>
    </row>
    <row r="253" spans="3:4">
      <c r="C253" s="31" t="s">
        <v>148</v>
      </c>
      <c r="D253" s="30">
        <v>44409</v>
      </c>
    </row>
    <row r="254" spans="3:4" hidden="1">
      <c r="C254" s="31" t="s">
        <v>146</v>
      </c>
      <c r="D254" s="30">
        <v>44501</v>
      </c>
    </row>
    <row r="255" spans="3:4" hidden="1">
      <c r="C255" s="31" t="s">
        <v>146</v>
      </c>
      <c r="D255" s="30">
        <v>44378</v>
      </c>
    </row>
    <row r="256" spans="3:4" hidden="1">
      <c r="C256" s="31" t="s">
        <v>146</v>
      </c>
      <c r="D256" s="30">
        <v>44197</v>
      </c>
    </row>
    <row r="257" spans="3:4" hidden="1">
      <c r="C257" s="31" t="s">
        <v>152</v>
      </c>
      <c r="D257" s="30">
        <v>44287</v>
      </c>
    </row>
    <row r="258" spans="3:4" hidden="1">
      <c r="C258" s="31" t="s">
        <v>152</v>
      </c>
      <c r="D258" s="30">
        <v>44378</v>
      </c>
    </row>
    <row r="259" spans="3:4" hidden="1">
      <c r="C259" s="31" t="s">
        <v>146</v>
      </c>
      <c r="D259" s="30">
        <v>44197</v>
      </c>
    </row>
    <row r="260" spans="3:4" hidden="1">
      <c r="C260" s="31" t="s">
        <v>151</v>
      </c>
      <c r="D260" s="30">
        <v>44228</v>
      </c>
    </row>
    <row r="261" spans="3:4">
      <c r="C261" s="31" t="s">
        <v>148</v>
      </c>
      <c r="D261" s="30">
        <v>44409</v>
      </c>
    </row>
    <row r="262" spans="3:4" hidden="1">
      <c r="C262" s="31" t="s">
        <v>146</v>
      </c>
      <c r="D262" s="30">
        <v>44317</v>
      </c>
    </row>
    <row r="263" spans="3:4" hidden="1">
      <c r="C263" s="31" t="s">
        <v>146</v>
      </c>
      <c r="D263" s="30">
        <v>44501</v>
      </c>
    </row>
    <row r="264" spans="3:4" hidden="1">
      <c r="C264" s="31" t="s">
        <v>152</v>
      </c>
      <c r="D264" s="30">
        <v>44348</v>
      </c>
    </row>
    <row r="265" spans="3:4" hidden="1">
      <c r="C265" s="31" t="s">
        <v>148</v>
      </c>
      <c r="D265" s="30">
        <v>44348</v>
      </c>
    </row>
    <row r="266" spans="3:4" hidden="1">
      <c r="C266" s="31" t="s">
        <v>152</v>
      </c>
      <c r="D266" s="30">
        <v>44256</v>
      </c>
    </row>
    <row r="267" spans="3:4" hidden="1">
      <c r="C267" s="31" t="s">
        <v>144</v>
      </c>
      <c r="D267" s="30">
        <v>44440</v>
      </c>
    </row>
    <row r="268" spans="3:4" hidden="1">
      <c r="C268" s="31" t="s">
        <v>151</v>
      </c>
      <c r="D268" s="30">
        <v>44378</v>
      </c>
    </row>
    <row r="269" spans="3:4" hidden="1">
      <c r="C269" s="31" t="s">
        <v>152</v>
      </c>
      <c r="D269" s="30">
        <v>44440</v>
      </c>
    </row>
    <row r="270" spans="3:4" hidden="1">
      <c r="C270" s="31" t="s">
        <v>148</v>
      </c>
      <c r="D270" s="30">
        <v>44228</v>
      </c>
    </row>
    <row r="271" spans="3:4" hidden="1">
      <c r="C271" s="31" t="s">
        <v>144</v>
      </c>
      <c r="D271" s="30">
        <v>44470</v>
      </c>
    </row>
    <row r="272" spans="3:4" hidden="1">
      <c r="C272" s="31" t="s">
        <v>151</v>
      </c>
      <c r="D272" s="30">
        <v>44470</v>
      </c>
    </row>
    <row r="273" spans="3:4" hidden="1">
      <c r="C273" s="31" t="s">
        <v>148</v>
      </c>
      <c r="D273" s="30">
        <v>44197</v>
      </c>
    </row>
    <row r="274" spans="3:4" hidden="1">
      <c r="C274" s="31" t="s">
        <v>151</v>
      </c>
      <c r="D274" s="30">
        <v>44348</v>
      </c>
    </row>
    <row r="275" spans="3:4" hidden="1">
      <c r="C275" s="31" t="s">
        <v>151</v>
      </c>
      <c r="D275" s="30">
        <v>44256</v>
      </c>
    </row>
    <row r="276" spans="3:4" hidden="1">
      <c r="C276" s="31" t="s">
        <v>144</v>
      </c>
      <c r="D276" s="30">
        <v>44501</v>
      </c>
    </row>
    <row r="277" spans="3:4" hidden="1">
      <c r="C277" s="31" t="s">
        <v>152</v>
      </c>
      <c r="D277" s="30">
        <v>44378</v>
      </c>
    </row>
    <row r="278" spans="3:4" hidden="1">
      <c r="C278" s="31" t="s">
        <v>148</v>
      </c>
      <c r="D278" s="30">
        <v>44531</v>
      </c>
    </row>
    <row r="279" spans="3:4" hidden="1">
      <c r="C279" s="31" t="s">
        <v>144</v>
      </c>
      <c r="D279" s="30">
        <v>44287</v>
      </c>
    </row>
    <row r="280" spans="3:4" hidden="1">
      <c r="C280" s="31" t="s">
        <v>146</v>
      </c>
      <c r="D280" s="30">
        <v>44378</v>
      </c>
    </row>
    <row r="281" spans="3:4" hidden="1">
      <c r="C281" s="31" t="s">
        <v>146</v>
      </c>
      <c r="D281" s="30">
        <v>44470</v>
      </c>
    </row>
    <row r="282" spans="3:4" hidden="1">
      <c r="C282" s="31" t="s">
        <v>152</v>
      </c>
      <c r="D282" s="30">
        <v>44531</v>
      </c>
    </row>
    <row r="283" spans="3:4" hidden="1">
      <c r="C283" s="31" t="s">
        <v>146</v>
      </c>
      <c r="D283" s="30">
        <v>44501</v>
      </c>
    </row>
    <row r="284" spans="3:4" hidden="1">
      <c r="C284" s="31" t="s">
        <v>152</v>
      </c>
      <c r="D284" s="30">
        <v>44197</v>
      </c>
    </row>
    <row r="285" spans="3:4" hidden="1">
      <c r="C285" s="31" t="s">
        <v>151</v>
      </c>
      <c r="D285" s="30">
        <v>44197</v>
      </c>
    </row>
    <row r="286" spans="3:4" hidden="1">
      <c r="C286" s="31" t="s">
        <v>152</v>
      </c>
      <c r="D286" s="30">
        <v>44409</v>
      </c>
    </row>
    <row r="287" spans="3:4" hidden="1">
      <c r="C287" s="31" t="s">
        <v>144</v>
      </c>
      <c r="D287" s="30">
        <v>44256</v>
      </c>
    </row>
    <row r="288" spans="3:4" hidden="1">
      <c r="C288" s="31" t="s">
        <v>148</v>
      </c>
      <c r="D288" s="30">
        <v>44501</v>
      </c>
    </row>
    <row r="289" spans="3:4" hidden="1">
      <c r="C289" s="31" t="s">
        <v>144</v>
      </c>
      <c r="D289" s="30">
        <v>44197</v>
      </c>
    </row>
    <row r="290" spans="3:4" hidden="1">
      <c r="C290" s="31" t="s">
        <v>151</v>
      </c>
      <c r="D290" s="30">
        <v>44348</v>
      </c>
    </row>
    <row r="291" spans="3:4" hidden="1">
      <c r="C291" s="31" t="s">
        <v>144</v>
      </c>
      <c r="D291" s="30">
        <v>44501</v>
      </c>
    </row>
    <row r="292" spans="3:4" hidden="1">
      <c r="C292" s="31" t="s">
        <v>151</v>
      </c>
      <c r="D292" s="30">
        <v>44378</v>
      </c>
    </row>
    <row r="293" spans="3:4" hidden="1">
      <c r="C293" s="31" t="s">
        <v>146</v>
      </c>
      <c r="D293" s="30">
        <v>44228</v>
      </c>
    </row>
    <row r="294" spans="3:4" hidden="1">
      <c r="C294" s="31" t="s">
        <v>146</v>
      </c>
      <c r="D294" s="30">
        <v>44470</v>
      </c>
    </row>
    <row r="295" spans="3:4" hidden="1">
      <c r="C295" s="31" t="s">
        <v>146</v>
      </c>
      <c r="D295" s="30">
        <v>44440</v>
      </c>
    </row>
    <row r="296" spans="3:4" hidden="1">
      <c r="C296" s="31" t="s">
        <v>148</v>
      </c>
      <c r="D296" s="30">
        <v>44228</v>
      </c>
    </row>
    <row r="297" spans="3:4" hidden="1">
      <c r="C297" s="31" t="s">
        <v>152</v>
      </c>
      <c r="D297" s="30">
        <v>44501</v>
      </c>
    </row>
    <row r="298" spans="3:4" hidden="1">
      <c r="C298" s="31" t="s">
        <v>151</v>
      </c>
      <c r="D298" s="30">
        <v>44256</v>
      </c>
    </row>
    <row r="299" spans="3:4" hidden="1">
      <c r="C299" s="31" t="s">
        <v>144</v>
      </c>
      <c r="D299" s="30">
        <v>44348</v>
      </c>
    </row>
    <row r="300" spans="3:4" hidden="1">
      <c r="C300" s="31" t="s">
        <v>151</v>
      </c>
      <c r="D300" s="30">
        <v>44287</v>
      </c>
    </row>
    <row r="301" spans="3:4" hidden="1">
      <c r="C301" s="31" t="s">
        <v>152</v>
      </c>
      <c r="D301" s="30">
        <v>44348</v>
      </c>
    </row>
    <row r="302" spans="3:4" hidden="1">
      <c r="C302" s="31" t="s">
        <v>146</v>
      </c>
      <c r="D302" s="30">
        <v>44440</v>
      </c>
    </row>
    <row r="303" spans="3:4" hidden="1">
      <c r="C303" s="31" t="s">
        <v>152</v>
      </c>
      <c r="D303" s="30">
        <v>44317</v>
      </c>
    </row>
    <row r="304" spans="3:4" hidden="1">
      <c r="C304" s="31" t="s">
        <v>146</v>
      </c>
      <c r="D304" s="30">
        <v>44440</v>
      </c>
    </row>
    <row r="305" spans="3:4" hidden="1">
      <c r="C305" s="31" t="s">
        <v>152</v>
      </c>
      <c r="D305" s="30">
        <v>44501</v>
      </c>
    </row>
    <row r="306" spans="3:4" hidden="1">
      <c r="C306" s="31" t="s">
        <v>151</v>
      </c>
      <c r="D306" s="30">
        <v>44409</v>
      </c>
    </row>
    <row r="307" spans="3:4" hidden="1">
      <c r="C307" s="31" t="s">
        <v>152</v>
      </c>
      <c r="D307" s="30">
        <v>44228</v>
      </c>
    </row>
    <row r="308" spans="3:4" hidden="1">
      <c r="C308" s="31" t="s">
        <v>152</v>
      </c>
      <c r="D308" s="30">
        <v>44348</v>
      </c>
    </row>
    <row r="309" spans="3:4" hidden="1">
      <c r="C309" s="31" t="s">
        <v>151</v>
      </c>
      <c r="D309" s="30">
        <v>44317</v>
      </c>
    </row>
    <row r="310" spans="3:4" hidden="1">
      <c r="C310" s="31" t="s">
        <v>148</v>
      </c>
      <c r="D310" s="30">
        <v>44470</v>
      </c>
    </row>
    <row r="311" spans="3:4" hidden="1">
      <c r="C311" s="31" t="s">
        <v>146</v>
      </c>
      <c r="D311" s="30">
        <v>44256</v>
      </c>
    </row>
    <row r="312" spans="3:4" hidden="1">
      <c r="C312" s="31" t="s">
        <v>146</v>
      </c>
      <c r="D312" s="30">
        <v>44378</v>
      </c>
    </row>
    <row r="313" spans="3:4" hidden="1">
      <c r="C313" s="31" t="s">
        <v>148</v>
      </c>
      <c r="D313" s="30">
        <v>44287</v>
      </c>
    </row>
    <row r="314" spans="3:4" hidden="1">
      <c r="C314" s="31" t="s">
        <v>146</v>
      </c>
      <c r="D314" s="30">
        <v>44378</v>
      </c>
    </row>
    <row r="315" spans="3:4">
      <c r="C315" s="31" t="s">
        <v>148</v>
      </c>
      <c r="D315" s="30">
        <v>44378</v>
      </c>
    </row>
    <row r="316" spans="3:4" hidden="1">
      <c r="C316" s="31" t="s">
        <v>146</v>
      </c>
      <c r="D316" s="30">
        <v>44317</v>
      </c>
    </row>
    <row r="317" spans="3:4" hidden="1">
      <c r="C317" s="31" t="s">
        <v>144</v>
      </c>
      <c r="D317" s="30">
        <v>44409</v>
      </c>
    </row>
  </sheetData>
  <autoFilter ref="C4:D317" xr:uid="{8A1017A2-2EA7-45D2-BA15-1EE75B6087F0}">
    <filterColumn colId="0">
      <customFilters>
        <customFilter val="F*"/>
      </customFilters>
    </filterColumn>
    <filterColumn colId="1">
      <dynamicFilter type="Q3"/>
    </filterColumn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FE56-33C2-42AB-8CC9-3BAD15087DEA}">
  <dimension ref="C1:D1000"/>
  <sheetViews>
    <sheetView topLeftCell="B1" workbookViewId="0">
      <selection activeCell="E27" sqref="E27"/>
    </sheetView>
  </sheetViews>
  <sheetFormatPr defaultColWidth="14.44140625" defaultRowHeight="15" customHeight="1"/>
  <cols>
    <col min="1" max="3" width="8.6640625" style="28" customWidth="1"/>
    <col min="4" max="4" width="11.6640625" style="28" customWidth="1"/>
    <col min="5" max="26" width="8.6640625" style="28" customWidth="1"/>
    <col min="27" max="16384" width="14.44140625" style="28"/>
  </cols>
  <sheetData>
    <row r="1" spans="3:4" ht="14.25" customHeight="1"/>
    <row r="2" spans="3:4" ht="14.25" customHeight="1">
      <c r="C2" s="32" t="s">
        <v>167</v>
      </c>
    </row>
    <row r="3" spans="3:4" ht="14.25" customHeight="1">
      <c r="C3" s="32" t="s">
        <v>166</v>
      </c>
    </row>
    <row r="4" spans="3:4" ht="14.25" customHeight="1">
      <c r="C4" s="32" t="s">
        <v>165</v>
      </c>
    </row>
    <row r="5" spans="3:4" ht="14.25" customHeight="1"/>
    <row r="6" spans="3:4" ht="14.25" customHeight="1">
      <c r="C6" s="38" t="s">
        <v>155</v>
      </c>
      <c r="D6" s="38" t="s">
        <v>164</v>
      </c>
    </row>
    <row r="7" spans="3:4" ht="14.25" customHeight="1">
      <c r="C7" s="37">
        <v>1990</v>
      </c>
      <c r="D7" s="36">
        <v>2156</v>
      </c>
    </row>
    <row r="8" spans="3:4" ht="14.25" customHeight="1">
      <c r="C8" s="37">
        <v>1991</v>
      </c>
      <c r="D8" s="36">
        <v>3562</v>
      </c>
    </row>
    <row r="9" spans="3:4" ht="14.25" customHeight="1">
      <c r="C9" s="37">
        <v>1992</v>
      </c>
      <c r="D9" s="36">
        <v>7506</v>
      </c>
    </row>
    <row r="10" spans="3:4" ht="14.25" customHeight="1">
      <c r="C10" s="37">
        <v>1993</v>
      </c>
      <c r="D10" s="36">
        <v>6258</v>
      </c>
    </row>
    <row r="11" spans="3:4" ht="14.25" customHeight="1">
      <c r="C11" s="37">
        <v>1994</v>
      </c>
      <c r="D11" s="36">
        <v>6279</v>
      </c>
    </row>
    <row r="12" spans="3:4" ht="14.25" customHeight="1">
      <c r="C12" s="37">
        <v>1995</v>
      </c>
      <c r="D12" s="36">
        <v>1963</v>
      </c>
    </row>
    <row r="13" spans="3:4" ht="14.25" customHeight="1">
      <c r="C13" s="37">
        <v>1996</v>
      </c>
      <c r="D13" s="36">
        <v>6736</v>
      </c>
    </row>
    <row r="14" spans="3:4" ht="14.25" customHeight="1">
      <c r="C14" s="37">
        <v>1997</v>
      </c>
      <c r="D14" s="36">
        <v>3280</v>
      </c>
    </row>
    <row r="15" spans="3:4" ht="14.25" customHeight="1">
      <c r="C15" s="37">
        <v>1998</v>
      </c>
      <c r="D15" s="36">
        <v>8398</v>
      </c>
    </row>
    <row r="16" spans="3:4" ht="14.25" customHeight="1">
      <c r="C16" s="37">
        <v>1999</v>
      </c>
      <c r="D16" s="36">
        <v>2882</v>
      </c>
    </row>
    <row r="17" spans="3:4" ht="14.25" customHeight="1">
      <c r="C17" s="37">
        <v>2000</v>
      </c>
      <c r="D17" s="36">
        <v>4686</v>
      </c>
    </row>
    <row r="18" spans="3:4" ht="14.25" customHeight="1">
      <c r="C18" s="37">
        <v>2001</v>
      </c>
      <c r="D18" s="36">
        <v>6976</v>
      </c>
    </row>
    <row r="19" spans="3:4" ht="14.25" customHeight="1">
      <c r="C19" s="37">
        <v>2002</v>
      </c>
      <c r="D19" s="36">
        <v>2173</v>
      </c>
    </row>
    <row r="20" spans="3:4" ht="14.25" customHeight="1">
      <c r="C20" s="37">
        <v>2003</v>
      </c>
      <c r="D20" s="36">
        <v>2166</v>
      </c>
    </row>
    <row r="21" spans="3:4" ht="14.25" customHeight="1">
      <c r="C21" s="35">
        <v>2004</v>
      </c>
      <c r="D21" s="34">
        <v>8418</v>
      </c>
    </row>
    <row r="22" spans="3:4" ht="14.25" customHeight="1"/>
    <row r="23" spans="3:4" ht="14.25" customHeight="1"/>
    <row r="24" spans="3:4" ht="14.25" customHeight="1"/>
    <row r="25" spans="3:4" ht="14.25" customHeight="1"/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6E89-344B-4DF1-A4EE-2BEBA3D0B8FE}">
  <dimension ref="C1:F1000"/>
  <sheetViews>
    <sheetView workbookViewId="0">
      <selection activeCell="E27" sqref="E27"/>
    </sheetView>
  </sheetViews>
  <sheetFormatPr defaultColWidth="14.44140625" defaultRowHeight="15" customHeight="1"/>
  <cols>
    <col min="1" max="3" width="8.6640625" style="28" customWidth="1"/>
    <col min="4" max="4" width="11.6640625" style="28" customWidth="1"/>
    <col min="5" max="5" width="12.6640625" style="28" customWidth="1"/>
    <col min="6" max="26" width="8.6640625" style="28" customWidth="1"/>
    <col min="27" max="16384" width="14.44140625" style="28"/>
  </cols>
  <sheetData>
    <row r="1" spans="3:6" ht="14.25" customHeight="1"/>
    <row r="2" spans="3:6" ht="14.25" customHeight="1">
      <c r="C2" s="32" t="s">
        <v>171</v>
      </c>
    </row>
    <row r="3" spans="3:6" ht="14.25" customHeight="1">
      <c r="C3" s="32" t="s">
        <v>166</v>
      </c>
    </row>
    <row r="4" spans="3:6" ht="14.25" customHeight="1">
      <c r="C4" s="32" t="s">
        <v>165</v>
      </c>
    </row>
    <row r="5" spans="3:6" ht="14.25" customHeight="1"/>
    <row r="6" spans="3:6" ht="14.25" customHeight="1">
      <c r="C6" s="48" t="s">
        <v>155</v>
      </c>
      <c r="D6" s="47" t="s">
        <v>164</v>
      </c>
      <c r="E6" s="47" t="s">
        <v>170</v>
      </c>
      <c r="F6" s="46" t="s">
        <v>169</v>
      </c>
    </row>
    <row r="7" spans="3:6" ht="14.25" customHeight="1">
      <c r="C7" s="37">
        <v>2005</v>
      </c>
      <c r="D7" s="44">
        <v>528</v>
      </c>
      <c r="E7" s="41"/>
      <c r="F7" s="45"/>
    </row>
    <row r="8" spans="3:6" ht="14.25" customHeight="1">
      <c r="C8" s="37">
        <v>2006</v>
      </c>
      <c r="D8" s="44">
        <v>4550</v>
      </c>
      <c r="E8" s="42">
        <f>SUM($D$6:D8)</f>
        <v>5078</v>
      </c>
      <c r="F8" s="41">
        <f t="shared" ref="F8:F24" si="0">E8/$E$24</f>
        <v>6.5615712624370076E-2</v>
      </c>
    </row>
    <row r="9" spans="3:6" ht="14.25" customHeight="1">
      <c r="C9" s="37">
        <v>2007</v>
      </c>
      <c r="D9" s="44">
        <v>8189</v>
      </c>
      <c r="E9" s="42">
        <f>SUM($D$6:D9)</f>
        <v>13267</v>
      </c>
      <c r="F9" s="41">
        <f t="shared" si="0"/>
        <v>0.17143041736658482</v>
      </c>
    </row>
    <row r="10" spans="3:6" ht="14.25" customHeight="1">
      <c r="C10" s="37">
        <v>2008</v>
      </c>
      <c r="D10" s="44">
        <v>1730</v>
      </c>
      <c r="E10" s="42">
        <f>SUM($D$6:D10)</f>
        <v>14997</v>
      </c>
      <c r="F10" s="41">
        <f t="shared" si="0"/>
        <v>0.19378472670887711</v>
      </c>
    </row>
    <row r="11" spans="3:6" ht="14.25" customHeight="1">
      <c r="C11" s="37">
        <v>2009</v>
      </c>
      <c r="D11" s="44">
        <v>5262</v>
      </c>
      <c r="E11" s="42">
        <f>SUM($D$6:D11)</f>
        <v>20259</v>
      </c>
      <c r="F11" s="41">
        <f t="shared" si="0"/>
        <v>0.26177800749450836</v>
      </c>
    </row>
    <row r="12" spans="3:6" ht="14.25" customHeight="1">
      <c r="C12" s="37">
        <v>2010</v>
      </c>
      <c r="D12" s="44">
        <v>2172</v>
      </c>
      <c r="E12" s="42">
        <f>SUM($D$6:D12)</f>
        <v>22431</v>
      </c>
      <c r="F12" s="41">
        <f t="shared" si="0"/>
        <v>0.28984364905026488</v>
      </c>
    </row>
    <row r="13" spans="3:6" ht="14.25" customHeight="1">
      <c r="C13" s="37">
        <v>2011</v>
      </c>
      <c r="D13" s="44">
        <v>4384</v>
      </c>
      <c r="E13" s="42">
        <f>SUM($D$6:D13)</f>
        <v>26815</v>
      </c>
      <c r="F13" s="41">
        <f t="shared" si="0"/>
        <v>0.34649179480553044</v>
      </c>
    </row>
    <row r="14" spans="3:6" ht="14.25" customHeight="1">
      <c r="C14" s="37">
        <v>2012</v>
      </c>
      <c r="D14" s="44">
        <v>8709</v>
      </c>
      <c r="E14" s="42">
        <f>SUM($D$6:D14)</f>
        <v>35524</v>
      </c>
      <c r="F14" s="41">
        <f t="shared" si="0"/>
        <v>0.45902571391652669</v>
      </c>
    </row>
    <row r="15" spans="3:6" ht="14.25" customHeight="1">
      <c r="C15" s="37">
        <v>2013</v>
      </c>
      <c r="D15" s="44">
        <v>3618</v>
      </c>
      <c r="E15" s="42">
        <f>SUM($D$6:D15)</f>
        <v>39142</v>
      </c>
      <c r="F15" s="41">
        <f t="shared" si="0"/>
        <v>0.50577594004393334</v>
      </c>
    </row>
    <row r="16" spans="3:6" ht="14.25" customHeight="1">
      <c r="C16" s="37">
        <v>2014</v>
      </c>
      <c r="D16" s="44">
        <v>6372</v>
      </c>
      <c r="E16" s="42">
        <f>SUM($D$6:D16)</f>
        <v>45514</v>
      </c>
      <c r="F16" s="41">
        <f t="shared" si="0"/>
        <v>0.58811215919369431</v>
      </c>
    </row>
    <row r="17" spans="3:6" ht="14.25" customHeight="1">
      <c r="C17" s="37">
        <v>2015</v>
      </c>
      <c r="D17" s="44">
        <v>3456</v>
      </c>
      <c r="E17" s="42">
        <f>SUM($D$6:D17)</f>
        <v>48970</v>
      </c>
      <c r="F17" s="41">
        <f t="shared" si="0"/>
        <v>0.6327690916139036</v>
      </c>
    </row>
    <row r="18" spans="3:6" ht="14.25" customHeight="1">
      <c r="C18" s="37">
        <v>2016</v>
      </c>
      <c r="D18" s="44">
        <v>7478</v>
      </c>
      <c r="E18" s="42">
        <f>SUM($D$6:D18)</f>
        <v>56448</v>
      </c>
      <c r="F18" s="41">
        <f t="shared" si="0"/>
        <v>0.72939656286341903</v>
      </c>
    </row>
    <row r="19" spans="3:6" ht="14.25" customHeight="1">
      <c r="C19" s="37">
        <v>2017</v>
      </c>
      <c r="D19" s="44">
        <v>4649</v>
      </c>
      <c r="E19" s="42">
        <f>SUM($D$6:D19)</f>
        <v>61097</v>
      </c>
      <c r="F19" s="41">
        <f t="shared" si="0"/>
        <v>0.78946892363354437</v>
      </c>
    </row>
    <row r="20" spans="3:6" ht="14.25" customHeight="1">
      <c r="C20" s="37">
        <v>2018</v>
      </c>
      <c r="D20" s="44">
        <v>5831</v>
      </c>
      <c r="E20" s="42">
        <f>SUM($D$6:D20)</f>
        <v>66928</v>
      </c>
      <c r="F20" s="41">
        <f t="shared" si="0"/>
        <v>0.86481457552655383</v>
      </c>
    </row>
    <row r="21" spans="3:6" ht="14.25" customHeight="1">
      <c r="C21" s="37">
        <v>2019</v>
      </c>
      <c r="D21" s="44">
        <v>1599</v>
      </c>
      <c r="E21" s="42">
        <f>SUM($D$6:D21)</f>
        <v>68527</v>
      </c>
      <c r="F21" s="41">
        <f t="shared" si="0"/>
        <v>0.88547615971055693</v>
      </c>
    </row>
    <row r="22" spans="3:6" ht="14.25" customHeight="1">
      <c r="C22" s="37">
        <v>2020</v>
      </c>
      <c r="D22" s="44">
        <v>3695</v>
      </c>
      <c r="E22" s="42">
        <f>SUM($D$6:D22)</f>
        <v>72222</v>
      </c>
      <c r="F22" s="41">
        <f t="shared" si="0"/>
        <v>0.93322134642718702</v>
      </c>
    </row>
    <row r="23" spans="3:6" ht="14.25" customHeight="1">
      <c r="C23" s="37">
        <v>2021</v>
      </c>
      <c r="D23" s="44">
        <v>1678</v>
      </c>
      <c r="E23" s="42">
        <f>SUM($D$6:D23)</f>
        <v>73900</v>
      </c>
      <c r="F23" s="41">
        <f t="shared" si="0"/>
        <v>0.95490373433260112</v>
      </c>
    </row>
    <row r="24" spans="3:6" ht="14.25" customHeight="1">
      <c r="C24" s="35">
        <v>2022</v>
      </c>
      <c r="D24" s="43">
        <v>3490</v>
      </c>
      <c r="E24" s="42">
        <f>SUM($D$6:D24)</f>
        <v>77390</v>
      </c>
      <c r="F24" s="41">
        <f t="shared" si="0"/>
        <v>1</v>
      </c>
    </row>
    <row r="25" spans="3:6" ht="14.25" customHeight="1">
      <c r="C25" s="40" t="s">
        <v>168</v>
      </c>
      <c r="D25" s="39">
        <f>SUM(D7:D24)</f>
        <v>77390</v>
      </c>
    </row>
    <row r="26" spans="3:6" ht="14.25" customHeight="1"/>
    <row r="27" spans="3:6" ht="14.25" customHeight="1"/>
    <row r="28" spans="3:6" ht="14.25" customHeight="1"/>
    <row r="29" spans="3:6" ht="14.25" customHeight="1"/>
    <row r="30" spans="3:6" ht="14.25" customHeight="1"/>
    <row r="31" spans="3:6" ht="14.25" customHeight="1"/>
    <row r="32" spans="3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Arithmatic Functions</vt:lpstr>
      <vt:lpstr>Logical Functions</vt:lpstr>
      <vt:lpstr>Index&amp;Match</vt:lpstr>
      <vt:lpstr>Master Emp sheet</vt:lpstr>
      <vt:lpstr>Source</vt:lpstr>
      <vt:lpstr>Date2</vt:lpstr>
      <vt:lpstr>Sort</vt:lpstr>
      <vt:lpstr>Short ans</vt:lpstr>
      <vt:lpstr>Filter</vt:lpstr>
      <vt:lpstr>Filter ans</vt:lpstr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Nirjala Atole</cp:lastModifiedBy>
  <dcterms:created xsi:type="dcterms:W3CDTF">2022-07-27T05:54:27Z</dcterms:created>
  <dcterms:modified xsi:type="dcterms:W3CDTF">2026-09-06T15:18:01Z</dcterms:modified>
</cp:coreProperties>
</file>